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865570165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09d91b921d4d40"/>
    <x:sheet xmlns:r="http://schemas.openxmlformats.org/officeDocument/2006/relationships" name="Inventory" sheetId="2" r:id="R25e8ee0f07244209"/>
    <x:sheet xmlns:r="http://schemas.openxmlformats.org/officeDocument/2006/relationships" name="Cut Plan" sheetId="3" r:id="R958f8ec7aac34ecd"/>
    <x:sheet xmlns:r="http://schemas.openxmlformats.org/officeDocument/2006/relationships" name="Checks" sheetId="4" r:id="R96cd03471efe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 ??/??"/>
    <x:numFmt numFmtId="201" formatCode="0.00"/>
  </x:numFmts>
  <x:fonts count="9">
    <x:font>
      <x:sz val="11"/>
      <x:name val="Carlito"/>
    </x:font>
    <x:font>
      <x:b/>
      <x:sz val="20"/>
      <x:color rgb="FFFFFFFF"/>
      <x:name val="Aptos Display"/>
    </x:font>
    <x:font>
      <x:b/>
      <x:sz val="10"/>
      <x:color rgb="FFA33B32"/>
      <x:name val="Aptos"/>
    </x:font>
    <x:font>
      <x:b/>
      <x:sz val="9"/>
      <x:color rgb="FFFFFFFF"/>
      <x:name val="Aptos"/>
    </x:font>
    <x:font>
      <x:sz val="9"/>
      <x:color rgb="FF20272D"/>
      <x:name val="Aptos"/>
    </x:font>
    <x:font>
      <x:b/>
      <x:sz val="11"/>
      <x:color rgb="FFFFFFFF"/>
      <x:name val="Aptos"/>
    </x:font>
    <x:font>
      <x:b/>
      <x:sz val="9"/>
      <x:color rgb="FF20272D"/>
      <x:name val="Aptos"/>
    </x:font>
    <x:font>
      <x:b/>
      <x:sz val="10"/>
      <x:color rgb="FF20272D"/>
      <x:name val="Aptos"/>
    </x:font>
    <x:font>
      <x:b/>
      <x:sz val="9"/>
      <x:color rgb="FFA33B32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A56"/>
      </x:patternFill>
    </x:fill>
    <x:fill>
      <x:patternFill patternType="solid">
        <x:fgColor rgb="FFF7E9E7"/>
      </x:patternFill>
    </x:fill>
    <x:fill>
      <x:patternFill patternType="solid">
        <x:fgColor rgb="FFEAF1F5"/>
      </x:patternFill>
    </x:fill>
    <x:fill>
      <x:patternFill patternType="solid">
        <x:fgColor rgb="FF2E6F73"/>
      </x:patternFill>
    </x:fill>
    <x:fill>
      <x:patternFill patternType="solid">
        <x:fgColor rgb="FF9A6B2F"/>
      </x:patternFill>
    </x:fill>
    <x:fill>
      <x:patternFill patternType="solid">
        <x:fgColor rgb="FFEAF2EC"/>
      </x:patternFill>
    </x:fill>
    <x:fill>
      <x:patternFill patternType="solid">
        <x:fgColor rgb="FFF4F0E8"/>
      </x:patternFill>
    </x:fill>
    <x:fill>
      <x:patternFill patternType="solid">
        <x:fgColor rgb="FFFFF4D6"/>
      </x:patternFill>
    </x:fill>
  </x:fills>
  <x:borders count="19">
    <x:border/>
    <x:border>
      <x:left style="thin">
        <x:color rgb="FF173A56"/>
      </x:left>
      <x:top style="thin">
        <x:color rgb="FF173A56"/>
      </x:top>
    </x:border>
    <x:border>
      <x:top style="thin">
        <x:color rgb="FF173A56"/>
      </x:top>
    </x:border>
    <x:border>
      <x:right style="thin">
        <x:color rgb="FF173A56"/>
      </x:right>
      <x:top style="thin">
        <x:color rgb="FF173A56"/>
      </x:top>
    </x:border>
    <x:border>
      <x:left style="thin">
        <x:color rgb="FF173A56"/>
      </x:left>
      <x:bottom style="thin">
        <x:color rgb="FF173A56"/>
      </x:bottom>
    </x:border>
    <x:border>
      <x:bottom style="thin">
        <x:color rgb="FF173A56"/>
      </x:bottom>
    </x:border>
    <x:border>
      <x:right style="thin">
        <x:color rgb="FF173A56"/>
      </x:right>
      <x:bottom style="thin">
        <x:color rgb="FF173A56"/>
      </x:bottom>
    </x:border>
    <x:border>
      <x:left style="thin">
        <x:color rgb="FFB9C2C7"/>
      </x:left>
      <x:top style="thin">
        <x:color rgb="FFB9C2C7"/>
      </x:top>
    </x:border>
    <x:border>
      <x:top style="thin">
        <x:color rgb="FFB9C2C7"/>
      </x:top>
    </x:border>
    <x:border>
      <x:right style="thin">
        <x:color rgb="FFB9C2C7"/>
      </x:right>
      <x:top style="thin">
        <x:color rgb="FFB9C2C7"/>
      </x:top>
    </x:border>
    <x:border>
      <x:left style="thin">
        <x:color rgb="FFB9C2C7"/>
      </x:left>
      <x:bottom style="thin">
        <x:color rgb="FFB9C2C7"/>
      </x:bottom>
    </x:border>
    <x:border>
      <x:bottom style="thin">
        <x:color rgb="FFB9C2C7"/>
      </x:bottom>
    </x:border>
    <x:border>
      <x:right style="thin">
        <x:color rgb="FFB9C2C7"/>
      </x:right>
      <x:bottom style="thin">
        <x:color rgb="FFB9C2C7"/>
      </x:bottom>
    </x:border>
    <x:border>
      <x:left style="thin">
        <x:color rgb="FFB9C2C7"/>
      </x:left>
      <x:right style="thin">
        <x:color rgb="FFB9C2C7"/>
      </x:right>
      <x:top style="thin">
        <x:color rgb="FFB9C2C7"/>
      </x:top>
      <x:bottom style="thin">
        <x:color rgb="FFB9C2C7"/>
      </x:bottom>
    </x:border>
    <x:border>
      <x:left style="thin">
        <x:color rgb="FF2E6F73"/>
      </x:left>
      <x:top style="thin">
        <x:color rgb="FF2E6F73"/>
      </x:top>
      <x:bottom style="thin">
        <x:color rgb="FF2E6F73"/>
      </x:bottom>
    </x:border>
    <x:border>
      <x:top style="thin">
        <x:color rgb="FF2E6F73"/>
      </x:top>
      <x:bottom style="thin">
        <x:color rgb="FF2E6F73"/>
      </x:bottom>
    </x:border>
    <x:border>
      <x:right style="thin">
        <x:color rgb="FF2E6F73"/>
      </x:right>
      <x:top style="thin">
        <x:color rgb="FF2E6F73"/>
      </x:top>
      <x:bottom style="thin">
        <x:color rgb="FF2E6F73"/>
      </x:bottom>
    </x:border>
    <x:border>
      <x:left style="thin">
        <x:color rgb="FFB9C2C7"/>
      </x:left>
    </x:border>
    <x:border>
      <x:right style="thin">
        <x:color rgb="FFB9C2C7"/>
      </x:right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horizontal="left" wrapText="1"/>
    </x:xf>
    <x:xf numFmtId="0" fontId="1" fillId="2" borderId="5" xfId="0" applyNumberFormat="1" applyFont="1" applyFill="1" applyBorder="1" applyAlignment="1">
      <x:alignment horizontal="left" wrapText="1"/>
    </x:xf>
    <x:xf numFmtId="0" fontId="1" fillId="2" borderId="6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left" wrapText="1"/>
    </x:xf>
    <x:xf numFmtId="0" fontId="2" fillId="3" borderId="8" xfId="0" applyNumberFormat="1" applyFont="1" applyFill="1" applyBorder="1" applyAlignment="1">
      <x:alignment horizontal="left" wrapText="1"/>
    </x:xf>
    <x:xf numFmtId="0" fontId="2" fillId="3" borderId="9" xfId="0" applyNumberFormat="1" applyFont="1" applyFill="1" applyBorder="1" applyAlignment="1">
      <x:alignment horizontal="left" wrapText="1"/>
    </x:xf>
    <x:xf numFmtId="0" fontId="2" fillId="3" borderId="10" xfId="0" applyNumberFormat="1" applyFont="1" applyFill="1" applyBorder="1" applyAlignment="1">
      <x:alignment horizontal="left" wrapText="1"/>
    </x:xf>
    <x:xf numFmtId="0" fontId="2" fillId="3" borderId="11" xfId="0" applyNumberFormat="1" applyFont="1" applyFill="1" applyBorder="1" applyAlignment="1">
      <x:alignment horizontal="left" wrapText="1"/>
    </x:xf>
    <x:xf numFmtId="0" fontId="2" fillId="3" borderId="12" xfId="0" applyNumberFormat="1" applyFont="1" applyFill="1" applyBorder="1" applyAlignment="1">
      <x:alignment horizontal="left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2" fillId="3" borderId="12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13" xfId="0" applyNumberFormat="1" applyFont="1" applyFill="1" applyBorder="1"/>
    <x:xf numFmtId="0" fontId="3" fillId="2" borderId="13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3" xfId="0" applyNumberFormat="1" applyFont="1" applyFill="1" applyBorder="1"/>
    <x:xf numFmtId="0" fontId="4" fillId="4" borderId="13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vertical="center" wrapText="1"/>
    </x:xf>
    <x:xf numFmtId="200" fontId="4" fillId="4" borderId="1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4" xfId="0" applyNumberFormat="1" applyFont="1" applyFill="1" applyBorder="1" applyAlignment="1">
      <x:alignment horizontal="left"/>
    </x:xf>
    <x:xf numFmtId="0" fontId="5" fillId="5" borderId="15" xfId="0" applyNumberFormat="1" applyFont="1" applyFill="1" applyBorder="1" applyAlignment="1">
      <x:alignment horizontal="left"/>
    </x:xf>
    <x:xf numFmtId="0" fontId="5" fillId="5" borderId="16" xfId="0" applyNumberFormat="1" applyFont="1" applyFill="1" applyBorder="1" applyAlignment="1">
      <x:alignment horizontal="left"/>
    </x:xf>
    <x:xf numFmtId="0" fontId="5" fillId="5" borderId="14" xfId="0" applyNumberFormat="1" applyFont="1" applyFill="1" applyBorder="1" applyAlignment="1">
      <x:alignment horizontal="left" vertical="center"/>
    </x:xf>
    <x:xf numFmtId="0" fontId="5" fillId="5" borderId="15" xfId="0" applyNumberFormat="1" applyFont="1" applyFill="1" applyBorder="1" applyAlignment="1">
      <x:alignment horizontal="left" vertical="center"/>
    </x:xf>
    <x:xf numFmtId="0" fontId="5" fillId="5" borderId="16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3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horizontal="left" wrapText="1"/>
    </x:xf>
    <x:xf numFmtId="0" fontId="3" fillId="6" borderId="13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13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top" wrapText="1"/>
    </x:xf>
    <x:xf numFmtId="200" fontId="4" fillId="0" borderId="13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vertical="top" wrapText="1"/>
    </x:xf>
    <x:xf numFmtId="200" fontId="4" fillId="7" borderId="13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0" fontId="6" fillId="8" borderId="13" xfId="0" applyNumberFormat="1" applyFont="1" applyFill="1" applyBorder="1" applyAlignment="1">
      <x:alignment vertical="top" wrapText="1"/>
    </x:xf>
    <x:xf numFmtId="201" fontId="4" fillId="0" borderId="1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7" xfId="0" applyNumberFormat="1" applyFont="1" applyFill="1" applyBorder="1"/>
    <x:xf numFmtId="0" fontId="7" fillId="8" borderId="18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7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horizontal="left" wrapText="1"/>
    </x:xf>
    <x:xf numFmtId="0" fontId="7" fillId="8" borderId="8" xfId="0" applyNumberFormat="1" applyFont="1" applyFill="1" applyBorder="1" applyAlignment="1">
      <x:alignment horizontal="left" wrapText="1"/>
    </x:xf>
    <x:xf numFmtId="0" fontId="7" fillId="8" borderId="9" xfId="0" applyNumberFormat="1" applyFont="1" applyFill="1" applyBorder="1" applyAlignment="1">
      <x:alignment horizontal="left" wrapText="1"/>
    </x:xf>
    <x:xf numFmtId="0" fontId="7" fillId="8" borderId="17" xfId="0" applyNumberFormat="1" applyFont="1" applyFill="1" applyBorder="1" applyAlignment="1">
      <x:alignment horizontal="left" wrapText="1"/>
    </x:xf>
    <x:xf numFmtId="0" fontId="7" fillId="8" borderId="0" xfId="0" applyNumberFormat="1" applyFont="1" applyFill="1" applyBorder="1" applyAlignment="1">
      <x:alignment horizontal="left" wrapText="1"/>
    </x:xf>
    <x:xf numFmtId="0" fontId="7" fillId="8" borderId="18" xfId="0" applyNumberFormat="1" applyFont="1" applyFill="1" applyBorder="1" applyAlignment="1">
      <x:alignment horizontal="left" wrapText="1"/>
    </x:xf>
    <x:xf numFmtId="0" fontId="7" fillId="8" borderId="10" xfId="0" applyNumberFormat="1" applyFont="1" applyFill="1" applyBorder="1" applyAlignment="1">
      <x:alignment horizontal="left" wrapText="1"/>
    </x:xf>
    <x:xf numFmtId="0" fontId="7" fillId="8" borderId="11" xfId="0" applyNumberFormat="1" applyFont="1" applyFill="1" applyBorder="1" applyAlignment="1">
      <x:alignment horizontal="left" wrapText="1"/>
    </x:xf>
    <x:xf numFmtId="0" fontId="7" fillId="8" borderId="12" xfId="0" applyNumberFormat="1" applyFont="1" applyFill="1" applyBorder="1" applyAlignment="1">
      <x:alignment horizontal="left" wrapText="1"/>
    </x:xf>
    <x:xf numFmtId="0" fontId="7" fillId="8" borderId="7" xfId="0" applyNumberFormat="1" applyFont="1" applyFill="1" applyBorder="1" applyAlignment="1">
      <x:alignment horizontal="left" vertical="center" wrapText="1"/>
    </x:xf>
    <x:xf numFmtId="0" fontId="7" fillId="8" borderId="8" xfId="0" applyNumberFormat="1" applyFont="1" applyFill="1" applyBorder="1" applyAlignment="1">
      <x:alignment horizontal="left" vertical="center" wrapText="1"/>
    </x:xf>
    <x:xf numFmtId="0" fontId="7" fillId="8" borderId="9" xfId="0" applyNumberFormat="1" applyFont="1" applyFill="1" applyBorder="1" applyAlignment="1">
      <x:alignment horizontal="left" vertical="center" wrapText="1"/>
    </x:xf>
    <x:xf numFmtId="0" fontId="7" fillId="8" borderId="17" xfId="0" applyNumberFormat="1" applyFont="1" applyFill="1" applyBorder="1" applyAlignment="1">
      <x:alignment horizontal="left" vertical="center" wrapText="1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7" fillId="8" borderId="18" xfId="0" applyNumberFormat="1" applyFont="1" applyFill="1" applyBorder="1" applyAlignment="1">
      <x:alignment horizontal="left" vertical="center" wrapText="1"/>
    </x:xf>
    <x:xf numFmtId="0" fontId="7" fillId="8" borderId="10" xfId="0" applyNumberFormat="1" applyFont="1" applyFill="1" applyBorder="1" applyAlignment="1">
      <x:alignment horizontal="left" vertical="center" wrapText="1"/>
    </x:xf>
    <x:xf numFmtId="0" fontId="7" fillId="8" borderId="11" xfId="0" applyNumberFormat="1" applyFont="1" applyFill="1" applyBorder="1" applyAlignment="1">
      <x:alignment horizontal="left" vertical="center" wrapText="1"/>
    </x:xf>
    <x:xf numFmtId="0" fontId="7" fillId="8" borderId="12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horizontal="left" wrapText="1"/>
    </x:xf>
    <x:xf numFmtId="0" fontId="7" fillId="4" borderId="8" xfId="0" applyNumberFormat="1" applyFont="1" applyFill="1" applyBorder="1" applyAlignment="1">
      <x:alignment horizontal="left" wrapText="1"/>
    </x:xf>
    <x:xf numFmtId="0" fontId="7" fillId="4" borderId="9" xfId="0" applyNumberFormat="1" applyFont="1" applyFill="1" applyBorder="1" applyAlignment="1">
      <x:alignment horizontal="left" wrapText="1"/>
    </x:xf>
    <x:xf numFmtId="0" fontId="7" fillId="4" borderId="10" xfId="0" applyNumberFormat="1" applyFont="1" applyFill="1" applyBorder="1" applyAlignment="1">
      <x:alignment horizontal="left" wrapText="1"/>
    </x:xf>
    <x:xf numFmtId="0" fontId="7" fillId="4" borderId="11" xfId="0" applyNumberFormat="1" applyFont="1" applyFill="1" applyBorder="1" applyAlignment="1">
      <x:alignment horizontal="left" wrapText="1"/>
    </x:xf>
    <x:xf numFmtId="0" fontId="7" fillId="4" borderId="12" xfId="0" applyNumberFormat="1" applyFont="1" applyFill="1" applyBorder="1" applyAlignment="1">
      <x:alignment horizontal="left" wrapText="1"/>
    </x:xf>
    <x:xf numFmtId="0" fontId="7" fillId="4" borderId="7" xfId="0" applyNumberFormat="1" applyFont="1" applyFill="1" applyBorder="1" applyAlignment="1">
      <x:alignment horizontal="left" vertical="center" wrapText="1"/>
    </x:xf>
    <x:xf numFmtId="0" fontId="7" fillId="4" borderId="8" xfId="0" applyNumberFormat="1" applyFont="1" applyFill="1" applyBorder="1" applyAlignment="1">
      <x:alignment horizontal="left" vertical="center" wrapText="1"/>
    </x:xf>
    <x:xf numFmtId="0" fontId="7" fillId="4" borderId="9" xfId="0" applyNumberFormat="1" applyFont="1" applyFill="1" applyBorder="1" applyAlignment="1">
      <x:alignment horizontal="left" vertical="center" wrapText="1"/>
    </x:xf>
    <x:xf numFmtId="0" fontId="7" fillId="4" borderId="10" xfId="0" applyNumberFormat="1" applyFont="1" applyFill="1" applyBorder="1" applyAlignment="1">
      <x:alignment horizontal="left" vertical="center" wrapText="1"/>
    </x:xf>
    <x:xf numFmtId="0" fontId="7" fillId="4" borderId="11" xfId="0" applyNumberFormat="1" applyFont="1" applyFill="1" applyBorder="1" applyAlignment="1">
      <x:alignment horizontal="left" vertical="center" wrapText="1"/>
    </x:xf>
    <x:xf numFmtId="0" fontId="7" fillId="4" borderId="12" xfId="0" applyNumberFormat="1" applyFont="1" applyFill="1" applyBorder="1" applyAlignment="1">
      <x:alignment horizontal="left" vertical="center" wrapText="1"/>
    </x:xf>
    <x:xf numFmtId="0" fontId="3" fillId="2" borderId="13" xfId="0" applyNumberFormat="1" applyFont="1" applyFill="1" applyBorder="1" applyAlignment="1">
      <x:alignment horizontal="left" wrapText="1"/>
    </x:xf>
    <x:xf numFmtId="0" fontId="3" fillId="2" borderId="13" xfId="0" applyNumberFormat="1" applyFont="1" applyFill="1" applyBorder="1" applyAlignment="1">
      <x:alignment horizontal="left" vertical="center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horizontal="left" wrapText="1"/>
    </x:xf>
    <x:xf numFmtId="0" fontId="7" fillId="9" borderId="8" xfId="0" applyNumberFormat="1" applyFont="1" applyFill="1" applyBorder="1" applyAlignment="1">
      <x:alignment horizontal="left" wrapText="1"/>
    </x:xf>
    <x:xf numFmtId="0" fontId="7" fillId="9" borderId="9" xfId="0" applyNumberFormat="1" applyFont="1" applyFill="1" applyBorder="1" applyAlignment="1">
      <x:alignment horizontal="left" wrapText="1"/>
    </x:xf>
    <x:xf numFmtId="0" fontId="7" fillId="9" borderId="10" xfId="0" applyNumberFormat="1" applyFont="1" applyFill="1" applyBorder="1" applyAlignment="1">
      <x:alignment horizontal="left" wrapText="1"/>
    </x:xf>
    <x:xf numFmtId="0" fontId="7" fillId="9" borderId="11" xfId="0" applyNumberFormat="1" applyFont="1" applyFill="1" applyBorder="1" applyAlignment="1">
      <x:alignment horizontal="left" wrapText="1"/>
    </x:xf>
    <x:xf numFmtId="0" fontId="7" fillId="9" borderId="12" xfId="0" applyNumberFormat="1" applyFont="1" applyFill="1" applyBorder="1" applyAlignment="1">
      <x:alignment horizontal="left" wrapText="1"/>
    </x:xf>
    <x:xf numFmtId="0" fontId="7" fillId="9" borderId="7" xfId="0" applyNumberFormat="1" applyFont="1" applyFill="1" applyBorder="1" applyAlignment="1">
      <x:alignment horizontal="left" vertical="center" wrapText="1"/>
    </x:xf>
    <x:xf numFmtId="0" fontId="7" fillId="9" borderId="8" xfId="0" applyNumberFormat="1" applyFont="1" applyFill="1" applyBorder="1" applyAlignment="1">
      <x:alignment horizontal="left" vertical="center" wrapText="1"/>
    </x:xf>
    <x:xf numFmtId="0" fontId="7" fillId="9" borderId="9" xfId="0" applyNumberFormat="1" applyFont="1" applyFill="1" applyBorder="1" applyAlignment="1">
      <x:alignment horizontal="left" vertical="center" wrapText="1"/>
    </x:xf>
    <x:xf numFmtId="0" fontId="7" fillId="9" borderId="10" xfId="0" applyNumberFormat="1" applyFont="1" applyFill="1" applyBorder="1" applyAlignment="1">
      <x:alignment horizontal="left" vertical="center" wrapText="1"/>
    </x:xf>
    <x:xf numFmtId="0" fontId="7" fillId="9" borderId="11" xfId="0" applyNumberFormat="1" applyFont="1" applyFill="1" applyBorder="1" applyAlignment="1">
      <x:alignment horizontal="left" vertical="center" wrapText="1"/>
    </x:xf>
    <x:xf numFmtId="0" fontId="7" fillId="9" borderId="12" xfId="0" applyNumberFormat="1" applyFont="1" applyFill="1" applyBorder="1" applyAlignment="1">
      <x:alignment horizontal="left" vertical="center" wrapText="1"/>
    </x:xf>
    <x:xf numFmtId="200" fontId="4" fillId="9" borderId="13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3" fillId="5" borderId="13" xfId="0" applyNumberFormat="1" applyFont="1" applyFill="1" applyBorder="1"/>
    <x:xf numFmtId="0" fontId="3" fillId="5" borderId="13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horizontal="left" wrapText="1"/>
    </x:xf>
    <x:xf numFmtId="0" fontId="3" fillId="5" borderId="13" xfId="0" applyNumberFormat="1" applyFont="1" applyFill="1" applyBorder="1" applyAlignment="1">
      <x:alignment horizontal="left" vertical="center" wrapText="1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center" wrapText="1"/>
    </x:xf>
    <x:xf numFmtId="0" fontId="7" fillId="9" borderId="17" xfId="0" applyNumberFormat="1" applyFont="1" applyFill="1" applyBorder="1"/>
    <x:xf numFmtId="0" fontId="7" fillId="9" borderId="18" xfId="0" applyNumberFormat="1" applyFont="1" applyFill="1" applyBorder="1"/>
    <x:xf numFmtId="0" fontId="7" fillId="9" borderId="17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18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horizontal="left" wrapText="1"/>
    </x:xf>
    <x:xf numFmtId="0" fontId="7" fillId="9" borderId="0" xfId="0" applyNumberFormat="1" applyFont="1" applyFill="1" applyBorder="1" applyAlignment="1">
      <x:alignment horizontal="left" wrapText="1"/>
    </x:xf>
    <x:xf numFmtId="0" fontId="7" fillId="9" borderId="18" xfId="0" applyNumberFormat="1" applyFont="1" applyFill="1" applyBorder="1" applyAlignment="1">
      <x:alignment horizontal="left" wrapText="1"/>
    </x:xf>
    <x:xf numFmtId="0" fontId="7" fillId="9" borderId="17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horizontal="left" vertical="center" wrapText="1"/>
    </x:xf>
    <x:xf numFmtId="0" fontId="7" fillId="9" borderId="1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3D7452"/>
      </x:font>
      <x:fill>
        <x:patternFill patternType="solid">
          <x:bgColor rgb="FFEAF2EC"/>
        </x:patternFill>
      </x:fill>
    </x:dxf>
    <x:dxf>
      <x:font>
        <x:b/>
        <x:color rgb="FF9A6B2F"/>
      </x:font>
      <x:fill>
        <x:patternFill patternType="solid">
          <x:bgColor rgb="FFFFF4D6"/>
        </x:patternFill>
      </x:fill>
    </x:dxf>
    <x:dxf>
      <x:font>
        <x:b/>
        <x:color rgb="FFA33B32"/>
      </x:font>
      <x:fill>
        <x:patternFill patternType="solid">
          <x:bgColor rgb="FFF7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c1b809f0a49fa" /><Relationship Type="http://schemas.openxmlformats.org/officeDocument/2006/relationships/theme" Target="/xl/theme/theme1.xml" Id="R8dfdfaf0a50044f4" /><Relationship Type="http://schemas.openxmlformats.org/officeDocument/2006/relationships/sharedStrings" Target="/xl/sharedStrings.xml" Id="R770754849bc94fa1" /><Relationship Type="http://schemas.openxmlformats.org/officeDocument/2006/relationships/worksheet" Target="/xl/worksheets/sheet1.xml" Id="R9d09d91b921d4d40" /><Relationship Type="http://schemas.openxmlformats.org/officeDocument/2006/relationships/worksheet" Target="/xl/worksheets/sheet2.xml" Id="R25e8ee0f07244209" /><Relationship Type="http://schemas.openxmlformats.org/officeDocument/2006/relationships/worksheet" Target="/xl/worksheets/sheet3.xml" Id="R958f8ec7aac34ecd" /><Relationship Type="http://schemas.openxmlformats.org/officeDocument/2006/relationships/worksheet" Target="/xl/worksheets/sheet4.xml" Id="R96cd03471efe4583" /></Relationships>
</file>

<file path=xl/tables/table1.xml><?xml version="1.0" encoding="utf-8"?>
<x:table xmlns:x="http://schemas.openxmlformats.org/spreadsheetml/2006/main" id="1" name="DoorStockInventory" displayName="DoorStockInventory" ref="A6:J21" headerRowCount="1" totalsRowCount="0" totalsRowShown="0">
  <x:autoFilter ref="A6:J21"/>
  <x:tableColumns count="10">
    <x:tableColumn id="1" name="Stock"/>
    <x:tableColumn id="2" name="Current / historical T x W x L"/>
    <x:tableColumn id="3" name="Recorded T"/>
    <x:tableColumn id="4" name="Current W"/>
    <x:tableColumn id="5" name="Current L"/>
    <x:tableColumn id="6" name="Recorded BF"/>
    <x:tableColumn id="7" name="Condition"/>
    <x:tableColumn id="8" name="Planned door use"/>
    <x:tableColumn id="9" name="Disposition"/>
    <x:tableColumn id="10" name="Verified board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lingVerification" displayName="MillingVerification" ref="A27:J43" headerRowCount="1" totalsRowCount="0" totalsRowShown="0">
  <x:autoFilter ref="A27:J43"/>
  <x:tableColumns count="10">
    <x:tableColumn id="1" name="Stock"/>
    <x:tableColumn id="2" name="Operation"/>
    <x:tableColumn id="3" name="Required yield"/>
    <x:tableColumn id="4" name="Verified min T"/>
    <x:tableColumn id="5" name="Verified min W"/>
    <x:tableColumn id="6" name="Verified clear L"/>
    <x:tableColumn id="7" name="Moisture %"/>
    <x:tableColumn id="8" name="Shop result"/>
    <x:tableColumn id="9" name="Calculated release"/>
    <x:tableColumn id="10" name="Initials /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orCutOperations" displayName="DoorCutOperations" ref="A6:O22" headerRowCount="1" totalsRowCount="0" totalsRowShown="0">
  <x:autoFilter ref="A6:O22"/>
  <x:tableColumns count="15">
    <x:tableColumn id="1" name="Stock"/>
    <x:tableColumn id="2" name="Seq"/>
    <x:tableColumn id="3" name="Op ID"/>
    <x:tableColumn id="4" name="Target"/>
    <x:tableColumn id="5" name="Qty"/>
    <x:tableColumn id="6" name="Segment L"/>
    <x:tableColumn id="7" name="Crosscuts"/>
    <x:tableColumn id="8" name="Kerf"/>
    <x:tableColumn id="9" name="Cuts + kerfs"/>
    <x:tableColumn id="10" name="End reserve"/>
    <x:tableColumn id="11" name="Total planned"/>
    <x:tableColumn id="12" name="Rip / milling plan"/>
    <x:tableColumn id="13" name="Required yield"/>
    <x:tableColumn id="14" name="Status"/>
    <x:tableColumn id="15" name="Notes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BoardLengthReconciliation" displayName="BoardLengthReconciliation" ref="A26:G38" headerRowCount="1" totalsRowCount="0" totalsRowShown="0">
  <x:autoFilter ref="A26:G38"/>
  <x:tableColumns count="7">
    <x:tableColumn id="1" name="Stock"/>
    <x:tableColumn id="2" name="Available L"/>
    <x:tableColumn id="3" name="Cuts + kerfs"/>
    <x:tableColumn id="4" name="End reserves"/>
    <x:tableColumn id="5" name="Paper remainder"/>
    <x:tableColumn id="6" name="Paper status"/>
    <x:tableColumn id="7" name="Physical rele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S05ReleaseChecks" displayName="LS05ReleaseChecks" ref="A6:H14" headerRowCount="1" totalsRowCount="0" totalsRowShown="0">
  <x:autoFilter ref="A6:H14"/>
  <x:tableColumns count="8">
    <x:tableColumn id="1" name="Gate"/>
    <x:tableColumn id="2" name="Severity"/>
    <x:tableColumn id="3" name="Check"/>
    <x:tableColumn id="4" name="Pass condition"/>
    <x:tableColumn id="5" name="Fallback"/>
    <x:tableColumn id="6" name="Formula status"/>
    <x:tableColumn id="7" name="Gate approval"/>
    <x:tableColumn id="8" name="Initials / date"/>
  </x:tableColumns>
  <x:tableStyleInfo name="TableStyleMedium3" showFirstColumn="0" showLastColumn="0" showRowStripes="1" showColumnStripes="0"/>
</x:table>
</file>

<file path=xl/tables/table6.xml><?xml version="1.0" encoding="utf-8"?>
<x:table xmlns:x="http://schemas.openxmlformats.org/spreadsheetml/2006/main" id="6" name="MeasurementReview" displayName="MeasurementReview" ref="A18:C23" headerRowCount="1" totalsRowCount="0" totalsRowShown="0">
  <x:autoFilter ref="A18:C23"/>
  <x:tableColumns count="3">
    <x:tableColumn id="1" name="Entry"/>
    <x:tableColumn id="2" name="Assessment"/>
    <x:tableColumn id="3" name="Required action before cutt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uldingPurchaseCheck" displayName="MouldingPurchaseCheck" ref="A27:F29" headerRowCount="1" totalsRowCount="0" totalsRowShown="0">
  <x:autoFilter ref="A27:F29"/>
  <x:tableColumns count="6">
    <x:tableColumn id="1" name="ID"/>
    <x:tableColumn id="2" name="Quantity"/>
    <x:tableColumn id="3" name="Material"/>
    <x:tableColumn id="4" name="Actual minimum"/>
    <x:tableColumn id="5" name="Allocation"/>
    <x:tableColumn id="6" name="Shop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d3a94035ab42b0" /><Relationship Type="http://schemas.openxmlformats.org/officeDocument/2006/relationships/table" Target="/xl/tables/table2.xml" Id="R8248cae52f6a45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1329e2e932410a" /><Relationship Type="http://schemas.openxmlformats.org/officeDocument/2006/relationships/table" Target="/xl/tables/table4.xml" Id="R6204bc31f67246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15728e0fdf849a3" /><Relationship Type="http://schemas.openxmlformats.org/officeDocument/2006/relationships/table" Target="/xl/tables/table6.xml" Id="R523d4ed082e54ce1" /><Relationship Type="http://schemas.openxmlformats.org/officeDocument/2006/relationships/table" Target="/xl/tables/table7.xml" Id="Rf0d318cfad4c42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9" hidden="0" customWidth="1"/>
    <x:col min="4" max="4" width="20" hidden="0" customWidth="1"/>
    <x:col min="5" max="5" width="15" hidden="0" customWidth="1"/>
    <x:col min="1" max="1" width="20" hidden="0" customWidth="1"/>
    <x:col min="2" max="2" width="29" hidden="0" customWidth="1"/>
    <x:col min="6" max="6" width="31" hidden="0" customWidth="1"/>
    <x:col min="7" max="7" width="29" hidden="0" customWidth="1"/>
    <x:col min="8" max="8" width="27" hidden="0" customWidth="1"/>
  </x:cols>
  <x:sheetData>
    <x:row r="1" ht="28" customHeight="1">
      <x:c r="A1" s="21" t="str">
        <x:v>DC-1916-001 · Door-Only Stock Plan · LS-05</x:v>
      </x:c>
      <x:c r="B1" s="22" t="str">
        <x:v>DC-1916-001 · Door-Only Stock Plan · LS-05</x:v>
      </x:c>
      <x:c r="C1" s="22" t="str">
        <x:v>DC-1916-001 · Door-Only Stock Plan · LS-05</x:v>
      </x:c>
      <x:c r="D1" s="22" t="str">
        <x:v>DC-1916-001 · Door-Only Stock Plan · LS-05</x:v>
      </x:c>
      <x:c r="E1" s="22" t="str">
        <x:v>DC-1916-001 · Door-Only Stock Plan · LS-05</x:v>
      </x:c>
      <x:c r="F1" s="22" t="str">
        <x:v>DC-1916-001 · Door-Only Stock Plan · LS-05</x:v>
      </x:c>
      <x:c r="G1" s="22" t="str">
        <x:v>DC-1916-001 · Door-Only Stock Plan · LS-05</x:v>
      </x:c>
      <x:c r="H1" s="23" t="str">
        <x:v>DC-1916-001 · Door-Only Stock Plan · LS-05</x:v>
      </x:c>
    </x:row>
    <x:row r="2" ht="28" customHeight="1">
      <x:c r="A2" s="24" t="str">
        <x:v>DC-1916-001 · Door-Only Stock Plan · LS-05</x:v>
      </x:c>
      <x:c r="B2" s="25" t="str">
        <x:v>DC-1916-001 · Door-Only Stock Plan · LS-05</x:v>
      </x:c>
      <x:c r="C2" s="25" t="str">
        <x:v>DC-1916-001 · Door-Only Stock Plan · LS-05</x:v>
      </x:c>
      <x:c r="D2" s="25" t="str">
        <x:v>DC-1916-001 · Door-Only Stock Plan · LS-05</x:v>
      </x:c>
      <x:c r="E2" s="25" t="str">
        <x:v>DC-1916-001 · Door-Only Stock Plan · LS-05</x:v>
      </x:c>
      <x:c r="F2" s="25" t="str">
        <x:v>DC-1916-001 · Door-Only Stock Plan · LS-05</x:v>
      </x:c>
      <x:c r="G2" s="25" t="str">
        <x:v>DC-1916-001 · Door-Only Stock Plan · LS-05</x:v>
      </x:c>
      <x:c r="H2" s="26" t="str">
        <x:v>DC-1916-001 · Door-Only Stock Plan · LS-05</x:v>
      </x:c>
    </x:row>
    <x:row r="3" ht="28" customHeight="1">
      <x:c r="A3" s="47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B3" s="48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C3" s="48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D3" s="48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E3" s="48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F3" s="48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G3" s="48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H3" s="49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</x:row>
    <x:row r="4" ht="28" customHeight="1">
      <x:c r="A4" s="50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B4" s="51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C4" s="51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D4" s="51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E4" s="51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F4" s="51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G4" s="51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  <x:c r="H4" s="52" t="str">
        <x:v>CONTROLLED RESERVE / NO-RESAW RELEASE. G is confirmed S4S at 15/16 x 4-1/2 x 75; thickness/width/length fit D-101J. CHK-P-01 still controls clear yield. M carries the upper panel; keep A intact. Keep N/O full. Prove B/C/I/K and J's 6-1/2-in F-core envelope.</x:v>
      </x:c>
    </x:row>
    <x:row r="6" ht="20" customHeight="1">
      <x:c r="A6" s="56" t="str">
        <x:v>Project</x:v>
      </x:c>
      <x:c r="B6" s="61" t="str">
        <x:v>DC-1916-001</x:v>
      </x:c>
      <x:c r="D6" s="71" t="str">
        <x:v>Balanced frame section</x:v>
      </x:c>
      <x:c r="E6" s="72" t="str">
        <x:v>Balanced frame section</x:v>
      </x:c>
      <x:c r="F6" s="72" t="str">
        <x:v>Balanced frame section</x:v>
      </x:c>
      <x:c r="G6" s="72" t="str">
        <x:v>Balanced frame section</x:v>
      </x:c>
      <x:c r="H6" s="73" t="str">
        <x:v>Balanced frame section</x:v>
      </x:c>
    </x:row>
    <x:row r="7">
      <x:c r="A7" s="56" t="str">
        <x:v>Revision</x:v>
      </x:c>
      <x:c r="B7" s="61" t="str">
        <x:v>Rev. G</x:v>
      </x:c>
      <x:c r="D7" s="79" t="str">
        <x:v>Layer</x:v>
      </x:c>
      <x:c r="E7" s="79" t="str">
        <x:v>Preglue T</x:v>
      </x:c>
      <x:c r="F7" s="79" t="str">
        <x:v>Finished T</x:v>
      </x:c>
      <x:c r="G7" s="79" t="str">
        <x:v>Operation</x:v>
      </x:c>
      <x:c r="H7" s="79" t="str">
        <x:v>Control</x:v>
      </x:c>
    </x:row>
    <x:row r="8">
      <x:c r="A8" s="56" t="str">
        <x:v>Stock plan</x:v>
      </x:c>
      <x:c r="B8" s="61" t="str">
        <x:v>LS-05</x:v>
      </x:c>
      <x:c r="D8" s="83" t="str">
        <x:v>Show face</x:v>
      </x:c>
      <x:c r="E8" s="84" t="n">
        <x:v>0.3125</x:v>
      </x:c>
      <x:c r="F8" s="84" t="n">
        <x:v>0.25</x:v>
      </x:c>
      <x:c r="G8" s="83" t="str">
        <x:v>Remove 1/16 after cure</x:v>
      </x:c>
      <x:c r="H8" s="83" t="str">
        <x:v>Long grain</x:v>
      </x:c>
    </x:row>
    <x:row r="9">
      <x:c r="A9" s="56" t="str">
        <x:v>Supersedes</x:v>
      </x:c>
      <x:c r="B9" s="61" t="str">
        <x:v>LS-04</x:v>
      </x:c>
      <x:c r="D9" s="83" t="str">
        <x:v>Core</x:v>
      </x:c>
      <x:c r="E9" s="84" t="n">
        <x:v>0.875</x:v>
      </x:c>
      <x:c r="F9" s="84" t="n">
        <x:v>0.875</x:v>
      </x:c>
      <x:c r="G9" s="83" t="str">
        <x:v>Preserve full thickness</x:v>
      </x:c>
      <x:c r="H9" s="83" t="str">
        <x:v>Continuous through machining</x:v>
      </x:c>
    </x:row>
    <x:row r="10">
      <x:c r="A10" s="56" t="str">
        <x:v>Confirmed jamb</x:v>
      </x:c>
      <x:c r="B10" s="61" t="str">
        <x:v>24 x 81 in clear</x:v>
      </x:c>
      <x:c r="D10" s="83" t="str">
        <x:v>Back face</x:v>
      </x:c>
      <x:c r="E10" s="84" t="n">
        <x:v>0.3125</x:v>
      </x:c>
      <x:c r="F10" s="84" t="n">
        <x:v>0.25</x:v>
      </x:c>
      <x:c r="G10" s="83" t="str">
        <x:v>Remove 1/16 after cure</x:v>
      </x:c>
      <x:c r="H10" s="83" t="str">
        <x:v>Long grain</x:v>
      </x:c>
    </x:row>
    <x:row r="11">
      <x:c r="A11" s="56" t="str">
        <x:v>Prefit assembly</x:v>
      </x:c>
      <x:c r="B11" s="61" t="str">
        <x:v>23-7/8 x 80-5/8 x 1-3/8 in</x:v>
      </x:c>
      <x:c r="D11" s="85" t="str">
        <x:v>TOTAL</x:v>
      </x:c>
      <x:c r="E11" s="86" t="n">
        <x:v>1.5</x:v>
      </x:c>
      <x:c r="F11" s="86" t="n">
        <x:v>1.375</x:v>
      </x:c>
      <x:c r="G11" s="85" t="str">
        <x:v>Surface symmetrically</x:v>
      </x:c>
      <x:c r="H11" s="85" t="str">
        <x:v>Machine after lamination</x:v>
      </x:c>
    </x:row>
    <x:row r="12">
      <x:c r="A12" s="56" t="str">
        <x:v>Finished fitted slab</x:v>
      </x:c>
      <x:c r="B12" s="61" t="str">
        <x:v>23-3/4 x 80-1/2 x 1-3/8 in</x:v>
      </x:c>
    </x:row>
    <x:row r="13" ht="20" customHeight="1">
      <x:c r="A13" s="56" t="str">
        <x:v>Reveals / bottom gap</x:v>
      </x:c>
      <x:c r="B13" s="61" t="str">
        <x:v>1/8 both sides + 1/8 head / 3/8 bottom</x:v>
      </x:c>
      <x:c r="D13" s="71" t="str">
        <x:v>Plan snapshot</x:v>
      </x:c>
      <x:c r="E13" s="72" t="str">
        <x:v>Plan snapshot</x:v>
      </x:c>
      <x:c r="F13" s="72" t="str">
        <x:v>Plan snapshot</x:v>
      </x:c>
      <x:c r="G13" s="72" t="str">
        <x:v>Plan snapshot</x:v>
      </x:c>
      <x:c r="H13" s="73" t="str">
        <x:v>Plan snapshot</x:v>
      </x:c>
    </x:row>
    <x:row r="14">
      <x:c r="A14" s="56" t="str">
        <x:v>Saw kerf</x:v>
      </x:c>
      <x:c r="B14" s="62" t="n">
        <x:v>0.125</x:v>
      </x:c>
      <x:c r="D14" s="88" t="str">
        <x:v>On-hand boards</x:v>
      </x:c>
      <x:c r="E14" s="83" t="n">
        <x:f>COUNTA('Inventory'!A7:A21)</x:f>
        <x:v>15</x:v>
      </x:c>
    </x:row>
    <x:row r="15">
      <x:c r="A15" s="56" t="str">
        <x:v>Measurement basis</x:v>
      </x:c>
      <x:c r="B15" s="61" t="str">
        <x:v>A = 72-3/4 in; B-F/H-K rough; G = S4S 15/16 x 4-1/2 x 75; L = 6 in wide; M = 3/4 x 8-1/4 x 99 finished; N/O = 1-3/4 x 11 x 74 finished white oak</x:v>
      </x:c>
      <x:c r="D15" s="88" t="str">
        <x:v>Recorded-thickness BF</x:v>
      </x:c>
      <x:c r="E15" s="89" t="n">
        <x:f>SUM('Inventory'!F7:F21)</x:f>
        <x:v>71.5234375</x:v>
      </x:c>
    </x:row>
    <x:row r="16">
      <x:c r="A16" s="56" t="str">
        <x:v>Door lumber purchase</x:v>
      </x:c>
      <x:c r="B16" s="61" t="str">
        <x:v>NO DOOR LUMBER PURCHASE RELEASED</x:v>
      </x:c>
      <x:c r="D16" s="88" t="str">
        <x:v>Door lumber purchase BF</x:v>
      </x:c>
      <x:c r="E16" s="83" t="n">
        <x:v>0</x:v>
      </x:c>
    </x:row>
    <x:row r="17">
      <x:c r="A17" s="56" t="str">
        <x:v>Moulding source</x:v>
      </x:c>
      <x:c r="B17" s="61" t="str">
        <x:v>Separate purchased S4S oak; no A-O credit</x:v>
      </x:c>
      <x:c r="D17" s="88" t="str">
        <x:v>4/4 moulding boards</x:v>
      </x:c>
      <x:c r="E17" s="83" t="n">
        <x:v>7</x:v>
      </x:c>
    </x:row>
    <x:row r="18">
      <x:c r="A18" s="56" t="str">
        <x:v>Current cut release</x:v>
      </x:c>
      <x:c r="B18" s="61" t="str">
        <x:v>G SIZE PASS · CHK-P-01 still controls G; prove B/C/I/K, revised J/L, and M/H; only M/D/G/H are first-stage cut candidates; keep A/N/O reserve</x:v>
      </x:c>
      <x:c r="D18" s="88" t="str">
        <x:v>6/4 moulding boards</x:v>
      </x:c>
      <x:c r="E18" s="83" t="n">
        <x:v>2</x:v>
      </x:c>
    </x:row>
    <x:row r="20" ht="20" customHeight="1">
      <x:c r="A20" s="71" t="str">
        <x:v>Separate two-face moulding order</x:v>
      </x:c>
      <x:c r="B20" s="72" t="str">
        <x:v>Separate two-face moulding order</x:v>
      </x:c>
      <x:c r="C20" s="72" t="str">
        <x:v>Separate two-face moulding order</x:v>
      </x:c>
      <x:c r="D20" s="72" t="str">
        <x:v>Separate two-face moulding order</x:v>
      </x:c>
      <x:c r="E20" s="72" t="str">
        <x:v>Separate two-face moulding order</x:v>
      </x:c>
      <x:c r="F20" s="72" t="str">
        <x:v>Separate two-face moulding order</x:v>
      </x:c>
      <x:c r="G20" s="72" t="str">
        <x:v>Separate two-face moulding order</x:v>
      </x:c>
      <x:c r="H20" s="73" t="str">
        <x:v>Separate two-face moulding order</x:v>
      </x:c>
    </x:row>
    <x:row r="21">
      <x:c r="A21" s="79" t="str">
        <x:v>ID</x:v>
      </x:c>
      <x:c r="B21" s="79" t="str">
        <x:v>Quantity</x:v>
      </x:c>
      <x:c r="C21" s="79" t="str">
        <x:v>Material</x:v>
      </x:c>
      <x:c r="D21" s="79" t="str">
        <x:v>Actual minimum</x:v>
      </x:c>
      <x:c r="E21" s="79" t="str">
        <x:v>Allocation</x:v>
      </x:c>
      <x:c r="F21" s="79" t="str"/>
      <x:c r="G21" s="79" t="str"/>
      <x:c r="H21" s="79" t="str"/>
    </x:row>
    <x:row r="22" ht="58" customHeight="1">
      <x:c r="A22" s="83" t="str">
        <x:v>BUY-MOULD-4Q</x:v>
      </x:c>
      <x:c r="B22" s="83" t="str">
        <x:v>7 boards</x:v>
      </x:c>
      <x:c r="C22" s="83" t="str">
        <x:v>S4S quarter-sawn white oak, 4/4 x nominal 6 inches x 8 feet</x:v>
      </x:c>
      <x:c r="D22" s="83" t="str">
        <x:v>3/4 inch thick at thinnest point after final preparation, 5-1/2 inches wide, 96 inches long; 13/16-inch thickness preferred</x:v>
      </x:c>
      <x:c r="E22" s="83" t="str">
        <x:v>four side casings, both head casings, one full-length casing spare/match board, and one three-piece stop mother blank</x:v>
      </x:c>
      <x:c r="F22" s="83" t="str"/>
      <x:c r="G22" s="83" t="str"/>
      <x:c r="H22" s="83" t="str"/>
    </x:row>
    <x:row r="23" ht="58" customHeight="1">
      <x:c r="A23" s="83" t="str">
        <x:v>BUY-MOULD-6Q</x:v>
      </x:c>
      <x:c r="B23" s="83" t="str">
        <x:v>2 boards</x:v>
      </x:c>
      <x:c r="C23" s="83" t="str">
        <x:v>S4S quarter-sawn white oak, 6/4 x nominal 6 inches x 8 feet</x:v>
      </x:c>
      <x:c r="D23" s="83" t="str">
        <x:v>1-1/4 inches thick, 5-1/2 inches wide, 96 inches long</x:v>
      </x:c>
      <x:c r="E23" s="83" t="str">
        <x:v>all side/head backband for two faces; also yields two optional caps only when square-head field evidence supports them</x:v>
      </x:c>
      <x:c r="F23" s="83" t="str"/>
      <x:c r="G23" s="83" t="str"/>
      <x:c r="H23" s="83" t="str"/>
    </x:row>
    <x:row r="25" ht="28" customHeight="1">
      <x:c r="A25" s="118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B25" s="119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C25" s="119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D25" s="119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E25" s="119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F25" s="119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G25" s="119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H25" s="120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</x:row>
    <x:row r="26" ht="28" customHeight="1">
      <x:c r="A26" s="121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B26" s="122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C26" s="122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D26" s="122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E26" s="122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F26" s="122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G26" s="122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H26" s="123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</x:row>
    <x:row r="27" ht="28" customHeight="1">
      <x:c r="A27" s="124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B27" s="125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C27" s="125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D27" s="125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E27" s="125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F27" s="125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G27" s="125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  <x:c r="H27" s="126" t="str">
        <x:v>Sequence rule: acclimate and map every board; prove one continuous staged-planed face from B and C; prove I/K each yield two 4-3/8-inch width-ripped lanes; prove J contains one clear 6-1/2-inch envelope and sign the revised J/L core map; mill panel samples; destructively test the same-layup coupon; transfer D/F seam maps; only then release production cutting.</x:v>
      </x:c>
    </x:row>
  </x:sheetData>
  <x:mergeCells>
    <x:mergeCell ref="A1:H2"/>
    <x:mergeCell ref="A3:H4"/>
    <x:mergeCell ref="D6:H6"/>
    <x:mergeCell ref="D13:H13"/>
    <x:mergeCell ref="A20:H20"/>
    <x:mergeCell ref="E21:H21"/>
    <x:mergeCell ref="E22:H22"/>
    <x:mergeCell ref="E23:H23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13" hidden="0" customWidth="1"/>
    <x:col min="5" max="5" width="13" hidden="0" customWidth="1"/>
    <x:col min="6" max="6" width="15" hidden="0" customWidth="1"/>
    <x:col min="7" max="7" width="13" hidden="0" customWidth="1"/>
    <x:col min="8" max="8" width="24" hidden="0" customWidth="1"/>
    <x:col min="9" max="9" width="30" hidden="0" customWidth="1"/>
    <x:col min="10" max="10" width="18" hidden="0" customWidth="1"/>
  </x:cols>
  <x:sheetData>
    <x:row r="1" ht="28" customHeight="1">
      <x:c r="A1" s="21" t="str">
        <x:v>Owner-Labeled Door Lumber Inventory</x:v>
      </x:c>
      <x:c r="B1" s="22" t="str">
        <x:v>Owner-Labeled Door Lumber Inventory</x:v>
      </x:c>
      <x:c r="C1" s="22" t="str">
        <x:v>Owner-Labeled Door Lumber Inventory</x:v>
      </x:c>
      <x:c r="D1" s="22" t="str">
        <x:v>Owner-Labeled Door Lumber Inventory</x:v>
      </x:c>
      <x:c r="E1" s="22" t="str">
        <x:v>Owner-Labeled Door Lumber Inventory</x:v>
      </x:c>
      <x:c r="F1" s="22" t="str">
        <x:v>Owner-Labeled Door Lumber Inventory</x:v>
      </x:c>
      <x:c r="G1" s="22" t="str">
        <x:v>Owner-Labeled Door Lumber Inventory</x:v>
      </x:c>
      <x:c r="H1" s="22" t="str">
        <x:v>Owner-Labeled Door Lumber Inventory</x:v>
      </x:c>
      <x:c r="I1" s="22" t="str">
        <x:v>Owner-Labeled Door Lumber Inventory</x:v>
      </x:c>
      <x:c r="J1" s="23" t="str">
        <x:v>Owner-Labeled Door Lumber Inventory</x:v>
      </x:c>
    </x:row>
    <x:row r="2" ht="28" customHeight="1">
      <x:c r="A2" s="24" t="str">
        <x:v>Owner-Labeled Door Lumber Inventory</x:v>
      </x:c>
      <x:c r="B2" s="25" t="str">
        <x:v>Owner-Labeled Door Lumber Inventory</x:v>
      </x:c>
      <x:c r="C2" s="25" t="str">
        <x:v>Owner-Labeled Door Lumber Inventory</x:v>
      </x:c>
      <x:c r="D2" s="25" t="str">
        <x:v>Owner-Labeled Door Lumber Inventory</x:v>
      </x:c>
      <x:c r="E2" s="25" t="str">
        <x:v>Owner-Labeled Door Lumber Inventory</x:v>
      </x:c>
      <x:c r="F2" s="25" t="str">
        <x:v>Owner-Labeled Door Lumber Inventory</x:v>
      </x:c>
      <x:c r="G2" s="25" t="str">
        <x:v>Owner-Labeled Door Lumber Inventory</x:v>
      </x:c>
      <x:c r="H2" s="25" t="str">
        <x:v>Owner-Labeled Door Lumber Inventory</x:v>
      </x:c>
      <x:c r="I2" s="25" t="str">
        <x:v>Owner-Labeled Door Lumber Inventory</x:v>
      </x:c>
      <x:c r="J2" s="26" t="str">
        <x:v>Owner-Labeled Door Lumber Inventory</x:v>
      </x:c>
    </x:row>
    <x:row r="3">
      <x:c r="A3" s="146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B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C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D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E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F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G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H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I3" s="147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J3" s="148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</x:row>
    <x:row r="4">
      <x:c r="A4" s="149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B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C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D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E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F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G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H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I4" s="150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  <x:c r="J4" s="151" t="str">
        <x:v>Surface condition is mixed. B-F/H-K remain rough; G is confirmed S4S at 15/16 x 4-1/2 x 75; L has cleaned edges; M/N/O are finished as stated. Record moisture, grain, flatness, defects, and clear yield. A-O remain door-only stock. Keep N/O full. No board is divided through its thickness.</x:v>
      </x:c>
    </x:row>
    <x:row r="6">
      <x:c r="A6" s="153" t="str">
        <x:v>Stock</x:v>
      </x:c>
      <x:c r="B6" s="153" t="str">
        <x:v>Current / historical T x W x L</x:v>
      </x:c>
      <x:c r="C6" s="153" t="str">
        <x:v>Recorded T</x:v>
      </x:c>
      <x:c r="D6" s="153" t="str">
        <x:v>Current W</x:v>
      </x:c>
      <x:c r="E6" s="153" t="str">
        <x:v>Current L</x:v>
      </x:c>
      <x:c r="F6" s="153" t="str">
        <x:v>Recorded BF</x:v>
      </x:c>
      <x:c r="G6" s="153" t="str">
        <x:v>Condition</x:v>
      </x:c>
      <x:c r="H6" s="153" t="str">
        <x:v>Planned door use</x:v>
      </x:c>
      <x:c r="I6" s="153" t="str">
        <x:v>Disposition</x:v>
      </x:c>
      <x:c r="J6" s="153" t="str">
        <x:v>Verified board status</x:v>
      </x:c>
    </x:row>
    <x:row r="7" ht="58" customHeight="1">
      <x:c r="A7" s="83" t="str">
        <x:v>STOCK-A</x:v>
      </x:c>
      <x:c r="B7" s="83" t="str">
        <x:v>1 X 5 11/16 X 72 3/4 CURRENT; ORIGINAL 78 3/4</x:v>
      </x:c>
      <x:c r="C7" s="84" t="n">
        <x:v>1</x:v>
      </x:c>
      <x:c r="D7" s="84" t="n">
        <x:v>5.6875</x:v>
      </x:c>
      <x:c r="E7" s="84" t="n">
        <x:v>72.75</x:v>
      </x:c>
      <x:c r="F7" s="89" t="n">
        <x:f>IF(OR(C7="",D7="",E7=""),"",C7*D7*E7/144)</x:f>
        <x:v>2.8733723958333335</x:v>
      </x:c>
      <x:c r="G7" s="83" t="str">
        <x:v>Rough-sawn; 6-inch damaged section removed from the original length; verify the new end is sound and map any continuation of the defect before cutting</x:v>
      </x:c>
      <x:c r="H7" s="83" t="str">
        <x:v>Keep intact as a door-only reserve for panel substitution, short-face stock, coupons, setup pieces, or repair stock; do not cut while STOCK-M proves D-101H</x:v>
      </x:c>
      <x:c r="I7" s="155" t="str">
        <x:v>RESERVE - KEEP FULL AFTER DAMAGE MAP</x:v>
      </x:c>
      <x:c r="J7" s="154" t="str"/>
    </x:row>
    <x:row r="8" ht="58" customHeight="1">
      <x:c r="A8" s="83" t="str">
        <x:v>STOCK-B</x:v>
      </x:c>
      <x:c r="B8" s="83" t="str">
        <x:v>1 X 4 15/16 X 85</x:v>
      </x:c>
      <x:c r="C8" s="84" t="n">
        <x:v>1</x:v>
      </x:c>
      <x:c r="D8" s="84" t="n">
        <x:v>4.9375</x:v>
      </x:c>
      <x:c r="E8" s="84" t="n">
        <x:v>85</x:v>
      </x:c>
      <x:c r="F8" s="89" t="n">
        <x:f>IF(OR(C8="",D8="",E8=""),"",C8*D8*E8/144)</x:f>
        <x:v>2.9144965277777777</x:v>
      </x:c>
      <x:c r="G8" s="83" t="str">
        <x:v>Rough-sawn; no defect reported</x:v>
      </x:c>
      <x:c r="H8" s="83" t="str">
        <x:v>One continuous D-101A hinge-stile show-face lamella, planed from the whole-thickness board; preserve full length until the 4-3/8 x 81-1/8 clear envelope passes</x:v>
      </x:c>
      <x:c r="I8" s="156" t="str">
        <x:v>CRITICAL - STILE FACE SHEET</x:v>
      </x:c>
      <x:c r="J8" s="154" t="str"/>
    </x:row>
    <x:row r="9" ht="58" customHeight="1">
      <x:c r="A9" s="83" t="str">
        <x:v>STOCK-C</x:v>
      </x:c>
      <x:c r="B9" s="83" t="str">
        <x:v>1 X 5 3/4 X 83 1/8</x:v>
      </x:c>
      <x:c r="C9" s="84" t="n">
        <x:v>1</x:v>
      </x:c>
      <x:c r="D9" s="84" t="n">
        <x:v>5.75</x:v>
      </x:c>
      <x:c r="E9" s="84" t="n">
        <x:v>83.125</x:v>
      </x:c>
      <x:c r="F9" s="89" t="n">
        <x:f>IF(OR(C9="",D9="",E9=""),"",C9*D9*E9/144)</x:f>
        <x:v>3.3192274305555554</x:v>
      </x:c>
      <x:c r="G9" s="83" t="str">
        <x:v>Rough-sawn; no defect reported</x:v>
      </x:c>
      <x:c r="H9" s="83" t="str">
        <x:v>One continuous D-101B lock-stile show-face lamella plus longitudinal width offcut for the signed short-member face pool</x:v>
      </x:c>
      <x:c r="I9" s="156" t="str">
        <x:v>CRITICAL - STILE FACE SHEET</x:v>
      </x:c>
      <x:c r="J9" s="154" t="str"/>
    </x:row>
    <x:row r="10" ht="58" customHeight="1">
      <x:c r="A10" s="83" t="str">
        <x:v>STOCK-D</x:v>
      </x:c>
      <x:c r="B10" s="83" t="str">
        <x:v>1 X 5 X 73 3/4</x:v>
      </x:c>
      <x:c r="C10" s="84" t="n">
        <x:v>1</x:v>
      </x:c>
      <x:c r="D10" s="84" t="n">
        <x:v>5</x:v>
      </x:c>
      <x:c r="E10" s="84" t="n">
        <x:v>73.75</x:v>
      </x:c>
      <x:c r="F10" s="89" t="n">
        <x:f>IF(OR(C10="",D10="",E10=""),"",C10*D10*E10/144)</x:f>
        <x:v>2.560763888888889</x:v>
      </x:c>
      <x:c r="G10" s="83" t="str">
        <x:v>Rough-sawn; no defect reported</x:v>
      </x:c>
      <x:c r="H10" s="83" t="str">
        <x:v>Primary four-stave allocation, paired two each, for D-101K and D-101L lower panels</x:v>
      </x:c>
      <x:c r="I10" s="154" t="str">
        <x:v>CONDITIONAL - DOOR PANELS</x:v>
      </x:c>
      <x:c r="J10" s="154" t="str"/>
    </x:row>
    <x:row r="11" ht="58" customHeight="1">
      <x:c r="A11" s="83" t="str">
        <x:v>STOCK-E</x:v>
      </x:c>
      <x:c r="B11" s="83" t="str">
        <x:v>1 X 5 3/4 X 75 1/2</x:v>
      </x:c>
      <x:c r="C11" s="84" t="n">
        <x:v>1</x:v>
      </x:c>
      <x:c r="D11" s="84" t="n">
        <x:v>5.75</x:v>
      </x:c>
      <x:c r="E11" s="84" t="n">
        <x:v>75.5</x:v>
      </x:c>
      <x:c r="F11" s="89" t="n">
        <x:f>IF(OR(C11="",D11="",E11=""),"",C11*D11*E11/144)</x:f>
        <x:v>3.0147569444444446</x:v>
      </x:c>
      <x:c r="G11" s="83" t="str">
        <x:v>Rough-sawn; some knots</x:v>
      </x:c>
      <x:c r="H11" s="83" t="str">
        <x:v>Short-member face pool; E and F together must yield at least five clear 5/16 x usable-width x 16-1/4 mother billets after every knot and check is excluded</x:v>
      </x:c>
      <x:c r="I11" s="156" t="str">
        <x:v>HOLD - SIGNED KNOT AND FACE-POOL MAP REQUIRED</x:v>
      </x:c>
      <x:c r="J11" s="154" t="str"/>
    </x:row>
    <x:row r="12" ht="58" customHeight="1">
      <x:c r="A12" s="83" t="str">
        <x:v>STOCK-F</x:v>
      </x:c>
      <x:c r="B12" s="83" t="str">
        <x:v>1 X 5 5/8 X 70 3/4</x:v>
      </x:c>
      <x:c r="C12" s="84" t="n">
        <x:v>1</x:v>
      </x:c>
      <x:c r="D12" s="84" t="n">
        <x:v>5.625</x:v>
      </x:c>
      <x:c r="E12" s="84" t="n">
        <x:v>70.75</x:v>
      </x:c>
      <x:c r="F12" s="89" t="n">
        <x:f>IF(OR(C12="",D12="",E12=""),"",C12*D12*E12/144)</x:f>
        <x:v>2.763671875</x:v>
      </x:c>
      <x:c r="G12" s="83" t="str">
        <x:v>Rough-sawn; some knots</x:v>
      </x:c>
      <x:c r="H12" s="83" t="str">
        <x:v>Short-member face pool; E and F together must yield at least five clear 5/16 x usable-width x 16-1/4 mother billets after every knot and check is excluded</x:v>
      </x:c>
      <x:c r="I12" s="156" t="str">
        <x:v>HOLD - SIGNED KNOT AND FACE-POOL MAP REQUIRED</x:v>
      </x:c>
      <x:c r="J12" s="154" t="str"/>
    </x:row>
    <x:row r="13" ht="58" customHeight="1">
      <x:c r="A13" s="83" t="str">
        <x:v>STOCK-G</x:v>
      </x:c>
      <x:c r="B13" s="83" t="str">
        <x:v>CURRENT S4S: 15/16 X 4 1/2 X 75; WAS ROUGH 1 X 4 7/8 X 78 1/4</x:v>
      </x:c>
      <x:c r="C13" s="84" t="n">
        <x:v>0.9375</x:v>
      </x:c>
      <x:c r="D13" s="84" t="n">
        <x:v>4.5</x:v>
      </x:c>
      <x:c r="E13" s="84" t="n">
        <x:v>75</x:v>
      </x:c>
      <x:c r="F13" s="89" t="n">
        <x:f>IF(OR(C13="",D13="",E13=""),"",C13*D13*E13/144)</x:f>
        <x:v>2.197265625</x:v>
      </x:c>
      <x:c r="G13" s="83" t="str">
        <x:v>S4S; current 15/16-inch thickness exceeds the 5/8-inch panel minimum; verify flatness, moisture, grain, defects, and glue-edge cleanup</x:v>
      </x:c>
      <x:c r="H13" s="83" t="str">
        <x:v>Four-stave D-101J center panel; thickness/width/length pass; release crosscuts only after CHK-P-01</x:v>
      </x:c>
      <x:c r="I13" s="154" t="str">
        <x:v>CONDITIONAL - CHK-P-01 PANEL MAP</x:v>
      </x:c>
      <x:c r="J13" s="154" t="str"/>
    </x:row>
    <x:row r="14" ht="58" customHeight="1">
      <x:c r="A14" s="83" t="str">
        <x:v>STOCK-H</x:v>
      </x:c>
      <x:c r="B14" s="83" t="str">
        <x:v>7/8 X 5 3/4 X 79</x:v>
      </x:c>
      <x:c r="C14" s="84" t="n">
        <x:v>0.875</x:v>
      </x:c>
      <x:c r="D14" s="84" t="n">
        <x:v>5.75</x:v>
      </x:c>
      <x:c r="E14" s="84" t="n">
        <x:v>79</x:v>
      </x:c>
      <x:c r="F14" s="89" t="n">
        <x:f>IF(OR(C14="",D14="",E14=""),"",C14*D14*E14/144)</x:f>
        <x:v>2.7601996527777777</x:v>
      </x:c>
      <x:c r="G14" s="83" t="str">
        <x:v>Rough-sawn; no defect reported</x:v>
      </x:c>
      <x:c r="H14" s="83" t="str">
        <x:v>Primary three-stave D-101N lower-center-panel glue-up</x:v>
      </x:c>
      <x:c r="I14" s="156" t="str">
        <x:v>CRITICAL THICKNESS - DOOR PANEL</x:v>
      </x:c>
      <x:c r="J14" s="154" t="str"/>
    </x:row>
    <x:row r="15" ht="58" customHeight="1">
      <x:c r="A15" s="83" t="str">
        <x:v>STOCK-I</x:v>
      </x:c>
      <x:c r="B15" s="83" t="str">
        <x:v>1 1/2 X 9 1/4 X 84 3/4</x:v>
      </x:c>
      <x:c r="C15" s="84" t="n">
        <x:v>1.5</x:v>
      </x:c>
      <x:c r="D15" s="84" t="n">
        <x:v>9.25</x:v>
      </x:c>
      <x:c r="E15" s="84" t="n">
        <x:v>84.75</x:v>
      </x:c>
      <x:c r="F15" s="89" t="n">
        <x:f>IF(OR(C15="",D15="",E15=""),"",C15*D15*E15/144)</x:f>
        <x:v>8.166015625</x:v>
      </x:c>
      <x:c r="G15" s="83" t="str">
        <x:v>Rough-sawn; flatness, straightness, twist, and dressed yield not recorded</x:v>
      </x:c>
      <x:c r="H15" s="83" t="str">
        <x:v>Two parallel full-length 4-3/8-inch lanes: continuous D-101B lock-stile core and continuous D-101B back face</x:v>
      </x:c>
      <x:c r="I15" s="156" t="str">
        <x:v>CRITICAL - LOCK-STILE CORE AND BACK FACE</x:v>
      </x:c>
      <x:c r="J15" s="154" t="str"/>
    </x:row>
    <x:row r="16" ht="58" customHeight="1">
      <x:c r="A16" s="83" t="str">
        <x:v>STOCK-J</x:v>
      </x:c>
      <x:c r="B16" s="83" t="str">
        <x:v>1 5/16 X 7 X 79 1/4</x:v>
      </x:c>
      <x:c r="C16" s="84" t="n">
        <x:v>1.3125</x:v>
      </x:c>
      <x:c r="D16" s="84" t="n">
        <x:v>7</x:v>
      </x:c>
      <x:c r="E16" s="84" t="n">
        <x:v>79.25</x:v>
      </x:c>
      <x:c r="F16" s="89" t="n">
        <x:f>IF(OR(C16="",D16="",E16=""),"",C16*D16*E16/144)</x:f>
        <x:v>5.056315104166667</x:v>
      </x:c>
      <x:c r="G16" s="83" t="str">
        <x:v>Rough-sawn; no defect reported</x:v>
      </x:c>
      <x:c r="H16" s="83" t="str">
        <x:v>Three 16-1/4-inch core mother billets for D-101C, D-101M, and the 6-1/2-inch D-101F wide core stave, plus D-101G at 12 inches; longitudinal width offcuts enter the signed face pool</x:v>
      </x:c>
      <x:c r="I16" s="156" t="str">
        <x:v>CRITICAL 6-1/2-INCH WIDTH - SIGNED CORE/OFFCUT MAP</x:v>
      </x:c>
      <x:c r="J16" s="154" t="str"/>
    </x:row>
    <x:row r="17" ht="58" customHeight="1">
      <x:c r="A17" s="83" t="str">
        <x:v>STOCK-K</x:v>
      </x:c>
      <x:c r="B17" s="83" t="str">
        <x:v>1 6/16 X 9 1/2 X 82 1/2</x:v>
      </x:c>
      <x:c r="C17" s="84" t="n">
        <x:v>1.375</x:v>
      </x:c>
      <x:c r="D17" s="84" t="n">
        <x:v>9.5</x:v>
      </x:c>
      <x:c r="E17" s="84" t="n">
        <x:v>82.5</x:v>
      </x:c>
      <x:c r="F17" s="89" t="n">
        <x:f>IF(OR(C17="",D17="",E17=""),"",C17*D17*E17/144)</x:f>
        <x:v>7.483723958333333</x:v>
      </x:c>
      <x:c r="G17" s="83" t="str">
        <x:v>Rough-sawn; no defect reported</x:v>
      </x:c>
      <x:c r="H17" s="83" t="str">
        <x:v>Two parallel full-length 4-3/8-inch lanes: continuous D-101A hinge-stile core and continuous D-101A back face</x:v>
      </x:c>
      <x:c r="I17" s="156" t="str">
        <x:v>CRITICAL - HINGE-STILE CORE AND BACK FACE</x:v>
      </x:c>
      <x:c r="J17" s="154" t="str"/>
    </x:row>
    <x:row r="18" ht="58" customHeight="1">
      <x:c r="A18" s="83" t="str">
        <x:v>STOCK-L</x:v>
      </x:c>
      <x:c r="B18" s="83" t="str">
        <x:v>1 5/16 X 6 X 80 CURRENT AFTER EDGE CLEANUP</x:v>
      </x:c>
      <x:c r="C18" s="84" t="n">
        <x:v>1.3125</x:v>
      </x:c>
      <x:c r="D18" s="84" t="n">
        <x:v>6</x:v>
      </x:c>
      <x:c r="E18" s="84" t="n">
        <x:v>80</x:v>
      </x:c>
      <x:c r="F18" s="89" t="n">
        <x:f>IF(OR(C18="",D18="",E18=""),"",C18*D18*E18/144)</x:f>
        <x:v>4.375</x:v>
      </x:c>
      <x:c r="G18" s="83" t="str">
        <x:v>Edges cleaned/jointed to 6 inches after edge cleanup; faces, thickness, length, flatness, and final dressed yield not reverified</x:v>
      </x:c>
      <x:c r="H18" s="83" t="str">
        <x:v>Four 16-1/4-inch core mother billets: D-101E, both D-101D staves at 5 and 2-1/4 inches, and the 5-3/4-inch D-101F top core stave; no 6-1/2-inch billet is assigned to L</x:v>
      </x:c>
      <x:c r="I18" s="156" t="str">
        <x:v>HOLD - REVISED SIGNED CORE/OFFCUT MAP</x:v>
      </x:c>
      <x:c r="J18" s="154" t="str"/>
    </x:row>
    <x:row r="19" ht="58" customHeight="1">
      <x:c r="A19" s="83" t="str">
        <x:v>STOCK-M</x:v>
      </x:c>
      <x:c r="B19" s="83" t="str">
        <x:v>3/4 X 8 1/4 X 99 FINISHED</x:v>
      </x:c>
      <x:c r="C19" s="84" t="n">
        <x:v>0.75</x:v>
      </x:c>
      <x:c r="D19" s="84" t="n">
        <x:v>8.25</x:v>
      </x:c>
      <x:c r="E19" s="84" t="n">
        <x:v>99</x:v>
      </x:c>
      <x:c r="F19" s="89" t="n">
        <x:f>IF(OR(C19="",D19="",E19=""),"",C19*D19*E19/144)</x:f>
        <x:v>4.25390625</x:v>
      </x:c>
      <x:c r="G19" s="83" t="str">
        <x:v>Reported finished white oak; verify actual S4S dimensions, straightness, moisture, grain orientation, color, and clear defect-free envelopes before cutting</x:v>
      </x:c>
      <x:c r="H19" s="83" t="str">
        <x:v>Primary three-stave D-101H upper-panel glue-up; after the panel passes, up to two 16-1/4-inch whole-thickness short-face mother billets may enter signed FP-05</x:v>
      </x:c>
      <x:c r="I19" s="87" t="str">
        <x:v>PRIMARY - FINISHED PANEL STOCK; VERIFY</x:v>
      </x:c>
      <x:c r="J19" s="154" t="str"/>
    </x:row>
    <x:row r="20" ht="58" customHeight="1">
      <x:c r="A20" s="83" t="str">
        <x:v>STOCK-N</x:v>
      </x:c>
      <x:c r="B20" s="83" t="str">
        <x:v>1 3/4 X 11 X 74 FINISHED WHITE OAK</x:v>
      </x:c>
      <x:c r="C20" s="84" t="n">
        <x:v>1.75</x:v>
      </x:c>
      <x:c r="D20" s="84" t="n">
        <x:v>11</x:v>
      </x:c>
      <x:c r="E20" s="84" t="n">
        <x:v>74</x:v>
      </x:c>
      <x:c r="F20" s="89" t="n">
        <x:f>IF(OR(C20="",D20="",E20=""),"",C20*D20*E20/144)</x:f>
        <x:v>9.89236111111111</x:v>
      </x:c>
      <x:c r="G20" s="83" t="str">
        <x:v>Finished white oak; finished dimensions confirmed; moisture, grain orientation, flatness, defects, and clear yield require normal shop inspection</x:v>
      </x:c>
      <x:c r="H20" s="83" t="str">
        <x:v>Keep full length as door-only reserve. Prefer as a signed fallback for short-member 7/8-inch cores; do not consume it for 5/16-inch faces or 5/8-inch panels unless a documented remap proves that the large planing loss is necessary.</x:v>
      </x:c>
      <x:c r="I20" s="155" t="str">
        <x:v>RESERVE - KEEP FULL; SHORT-CORE FALLBACK</x:v>
      </x:c>
      <x:c r="J20" s="154" t="str"/>
    </x:row>
    <x:row r="21" ht="58" customHeight="1">
      <x:c r="A21" s="83" t="str">
        <x:v>STOCK-O</x:v>
      </x:c>
      <x:c r="B21" s="83" t="str">
        <x:v>1 3/4 X 11 X 74 FINISHED WHITE OAK</x:v>
      </x:c>
      <x:c r="C21" s="84" t="n">
        <x:v>1.75</x:v>
      </x:c>
      <x:c r="D21" s="84" t="n">
        <x:v>11</x:v>
      </x:c>
      <x:c r="E21" s="84" t="n">
        <x:v>74</x:v>
      </x:c>
      <x:c r="F21" s="89" t="n">
        <x:f>IF(OR(C21="",D21="",E21=""),"",C21*D21*E21/144)</x:f>
        <x:v>9.89236111111111</x:v>
      </x:c>
      <x:c r="G21" s="83" t="str">
        <x:v>Finished white oak; finished dimensions confirmed; moisture, grain orientation, flatness, defects, and clear yield require normal shop inspection</x:v>
      </x:c>
      <x:c r="H21" s="83" t="str">
        <x:v>Keep full length as door-only reserve. Prefer as a signed fallback for short-member 7/8-inch cores, coupons, or repair stock; do not consume it for 5/16-inch faces or 5/8-inch panels unless a documented remap proves that the large planing loss is necessary.</x:v>
      </x:c>
      <x:c r="I21" s="155" t="str">
        <x:v>RESERVE - KEEP FULL; SHORT-CORE FALLBACK</x:v>
      </x:c>
      <x:c r="J21" s="154" t="str"/>
    </x:row>
    <x:row r="23" ht="20" customHeight="1">
      <x:c r="A23" s="71" t="str">
        <x:v>Operation-level milling verification</x:v>
      </x:c>
      <x:c r="B23" s="72" t="str">
        <x:v>Operation-level milling verification</x:v>
      </x:c>
      <x:c r="C23" s="72" t="str">
        <x:v>Operation-level milling verification</x:v>
      </x:c>
      <x:c r="D23" s="72" t="str">
        <x:v>Operation-level milling verification</x:v>
      </x:c>
      <x:c r="E23" s="72" t="str">
        <x:v>Operation-level milling verification</x:v>
      </x:c>
      <x:c r="F23" s="72" t="str">
        <x:v>Operation-level milling verification</x:v>
      </x:c>
      <x:c r="G23" s="72" t="str">
        <x:v>Operation-level milling verification</x:v>
      </x:c>
      <x:c r="H23" s="72" t="str">
        <x:v>Operation-level milling verification</x:v>
      </x:c>
      <x:c r="I23" s="72" t="str">
        <x:v>Operation-level milling verification</x:v>
      </x:c>
      <x:c r="J23" s="73" t="str">
        <x:v>Operation-level milling verification</x:v>
      </x:c>
    </x:row>
    <x:row r="24">
      <x:c r="A24" s="177" t="str">
        <x:v>Record the actual minimum clear dimensions and sign the matching gate. A formula can track completion, but the written required-yield statement and the signed physical map control.</x:v>
      </x:c>
      <x:c r="B24" s="178" t="str">
        <x:v>Record the actual minimum clear dimensions and sign the matching gate. A formula can track completion, but the written required-yield statement and the signed physical map control.</x:v>
      </x:c>
      <x:c r="C24" s="178" t="str">
        <x:v>Record the actual minimum clear dimensions and sign the matching gate. A formula can track completion, but the written required-yield statement and the signed physical map control.</x:v>
      </x:c>
      <x:c r="D24" s="178" t="str">
        <x:v>Record the actual minimum clear dimensions and sign the matching gate. A formula can track completion, but the written required-yield statement and the signed physical map control.</x:v>
      </x:c>
      <x:c r="E24" s="178" t="str">
        <x:v>Record the actual minimum clear dimensions and sign the matching gate. A formula can track completion, but the written required-yield statement and the signed physical map control.</x:v>
      </x:c>
      <x:c r="F24" s="178" t="str">
        <x:v>Record the actual minimum clear dimensions and sign the matching gate. A formula can track completion, but the written required-yield statement and the signed physical map control.</x:v>
      </x:c>
      <x:c r="G24" s="178" t="str">
        <x:v>Record the actual minimum clear dimensions and sign the matching gate. A formula can track completion, but the written required-yield statement and the signed physical map control.</x:v>
      </x:c>
      <x:c r="H24" s="178" t="str">
        <x:v>Record the actual minimum clear dimensions and sign the matching gate. A formula can track completion, but the written required-yield statement and the signed physical map control.</x:v>
      </x:c>
      <x:c r="I24" s="178" t="str">
        <x:v>Record the actual minimum clear dimensions and sign the matching gate. A formula can track completion, but the written required-yield statement and the signed physical map control.</x:v>
      </x:c>
      <x:c r="J24" s="179" t="str">
        <x:v>Record the actual minimum clear dimensions and sign the matching gate. A formula can track completion, but the written required-yield statement and the signed physical map control.</x:v>
      </x:c>
    </x:row>
    <x:row r="25">
      <x:c r="A25" s="180" t="str">
        <x:v>Record the actual minimum clear dimensions and sign the matching gate. A formula can track completion, but the written required-yield statement and the signed physical map control.</x:v>
      </x:c>
      <x:c r="B25" s="181" t="str">
        <x:v>Record the actual minimum clear dimensions and sign the matching gate. A formula can track completion, but the written required-yield statement and the signed physical map control.</x:v>
      </x:c>
      <x:c r="C25" s="181" t="str">
        <x:v>Record the actual minimum clear dimensions and sign the matching gate. A formula can track completion, but the written required-yield statement and the signed physical map control.</x:v>
      </x:c>
      <x:c r="D25" s="181" t="str">
        <x:v>Record the actual minimum clear dimensions and sign the matching gate. A formula can track completion, but the written required-yield statement and the signed physical map control.</x:v>
      </x:c>
      <x:c r="E25" s="181" t="str">
        <x:v>Record the actual minimum clear dimensions and sign the matching gate. A formula can track completion, but the written required-yield statement and the signed physical map control.</x:v>
      </x:c>
      <x:c r="F25" s="181" t="str">
        <x:v>Record the actual minimum clear dimensions and sign the matching gate. A formula can track completion, but the written required-yield statement and the signed physical map control.</x:v>
      </x:c>
      <x:c r="G25" s="181" t="str">
        <x:v>Record the actual minimum clear dimensions and sign the matching gate. A formula can track completion, but the written required-yield statement and the signed physical map control.</x:v>
      </x:c>
      <x:c r="H25" s="181" t="str">
        <x:v>Record the actual minimum clear dimensions and sign the matching gate. A formula can track completion, but the written required-yield statement and the signed physical map control.</x:v>
      </x:c>
      <x:c r="I25" s="181" t="str">
        <x:v>Record the actual minimum clear dimensions and sign the matching gate. A formula can track completion, but the written required-yield statement and the signed physical map control.</x:v>
      </x:c>
      <x:c r="J25" s="182" t="str">
        <x:v>Record the actual minimum clear dimensions and sign the matching gate. A formula can track completion, but the written required-yield statement and the signed physical map control.</x:v>
      </x:c>
    </x:row>
    <x:row r="27">
      <x:c r="A27" s="79" t="str">
        <x:v>Stock</x:v>
      </x:c>
      <x:c r="B27" s="79" t="str">
        <x:v>Operation</x:v>
      </x:c>
      <x:c r="C27" s="79" t="str">
        <x:v>Required yield</x:v>
      </x:c>
      <x:c r="D27" s="79" t="str">
        <x:v>Verified min T</x:v>
      </x:c>
      <x:c r="E27" s="79" t="str">
        <x:v>Verified min W</x:v>
      </x:c>
      <x:c r="F27" s="79" t="str">
        <x:v>Verified clear L</x:v>
      </x:c>
      <x:c r="G27" s="79" t="str">
        <x:v>Moisture %</x:v>
      </x:c>
      <x:c r="H27" s="79" t="str">
        <x:v>Shop result</x:v>
      </x:c>
      <x:c r="I27" s="79" t="str">
        <x:v>Calculated release</x:v>
      </x:c>
      <x:c r="J27" s="79" t="str">
        <x:v>Initials / date</x:v>
      </x:c>
    </x:row>
    <x:row r="28" ht="64" customHeight="1">
      <x:c r="A28" s="83" t="str">
        <x:v>STOCK-M</x:v>
      </x:c>
      <x:c r="B28" s="83" t="str">
        <x:v>M-01 · D-101H upper panel</x:v>
      </x:c>
      <x:c r="C28" s="83" t="str">
        <x:v>Three staves collectively at least 5/8 x 16-3/8 x 15-9/16 after jointing; 5.4584 inches minimum average jointed stave width</x:v>
      </x:c>
      <x:c r="D28" s="183"/>
      <x:c r="E28" s="183"/>
      <x:c r="F28" s="183"/>
      <x:c r="G28" s="183"/>
      <x:c r="H28" s="154" t="str"/>
      <x:c r="I28" s="83" t="str">
        <x:f>IF(OR(D28="",E28="",F28="",G28="",H28=""),"HOLD - ENTER VERIFIED DATA",IF(H28="PASS - SHOP INSPECTION","PASS - VERIFY AGAINST WRITTEN YIELD","FAIL / HOLD"))</x:f>
        <x:v>HOLD - ENTER VERIFIED DATA</x:v>
      </x:c>
      <x:c r="J28" s="83" t="str"/>
    </x:row>
    <x:row r="29" ht="64" customHeight="1">
      <x:c r="A29" s="83" t="str">
        <x:v>STOCK-M</x:v>
      </x:c>
      <x:c r="B29" s="83" t="str">
        <x:v>M-02 · Signed short-member face pool</x:v>
      </x:c>
      <x:c r="C29" s="83" t="str">
        <x:v>Two 5/16-inch short-face mother billets at least 16-1/4 inches long; usable jointed widths recorded on FP-05</x:v>
      </x:c>
      <x:c r="D29" s="183"/>
      <x:c r="E29" s="183"/>
      <x:c r="F29" s="183"/>
      <x:c r="G29" s="183"/>
      <x:c r="H29" s="154" t="str"/>
      <x:c r="I29" s="83" t="str">
        <x:f>IF(OR(D29="",E29="",F29="",G29="",H29=""),"HOLD - ENTER VERIFIED DATA",IF(H29="PASS - SHOP INSPECTION","PASS - VERIFY AGAINST WRITTEN YIELD","FAIL / HOLD"))</x:f>
        <x:v>HOLD - ENTER VERIFIED DATA</x:v>
      </x:c>
      <x:c r="J29" s="83" t="str"/>
    </x:row>
    <x:row r="30" ht="64" customHeight="1">
      <x:c r="A30" s="83" t="str">
        <x:v>STOCK-B</x:v>
      </x:c>
      <x:c r="B30" s="83" t="str">
        <x:v>B-01 · D-101A-SF continuous hinge-stile show face</x:v>
      </x:c>
      <x:c r="C30" s="83" t="str">
        <x:v>One continuous glue-ready lamella at least 5/16 x 4-3/8 x 81-1/8</x:v>
      </x:c>
      <x:c r="D30" s="183"/>
      <x:c r="E30" s="183"/>
      <x:c r="F30" s="183"/>
      <x:c r="G30" s="183"/>
      <x:c r="H30" s="154" t="str"/>
      <x:c r="I30" s="83" t="str">
        <x:f>IF(OR(D30="",E30="",F30="",G30="",H30=""),"HOLD - ENTER VERIFIED DATA",IF(H30="PASS - SHOP INSPECTION","PASS - VERIFY AGAINST WRITTEN YIELD","FAIL / HOLD"))</x:f>
        <x:v>HOLD - ENTER VERIFIED DATA</x:v>
      </x:c>
      <x:c r="J30" s="83" t="str"/>
    </x:row>
    <x:row r="31" ht="64" customHeight="1">
      <x:c r="A31" s="83" t="str">
        <x:v>STOCK-C</x:v>
      </x:c>
      <x:c r="B31" s="83" t="str">
        <x:v>C-01 · D-101B-SF continuous lock-stile show face plus longitudinal short-face strips</x:v>
      </x:c>
      <x:c r="C31" s="83" t="str">
        <x:v>One continuous glue-ready lamella at least 5/16 x 4-3/8 x 81-1/8 plus traceable 16-1/4-inch strips for FP-05 where jointed width survives</x:v>
      </x:c>
      <x:c r="D31" s="183"/>
      <x:c r="E31" s="183"/>
      <x:c r="F31" s="183"/>
      <x:c r="G31" s="183"/>
      <x:c r="H31" s="154" t="str"/>
      <x:c r="I31" s="83" t="str">
        <x:f>IF(OR(D31="",E31="",F31="",G31="",H31=""),"HOLD - ENTER VERIFIED DATA",IF(H31="PASS - SHOP INSPECTION","PASS - VERIFY AGAINST WRITTEN YIELD","FAIL / HOLD"))</x:f>
        <x:v>HOLD - ENTER VERIFIED DATA</x:v>
      </x:c>
      <x:c r="J31" s="83" t="str"/>
    </x:row>
    <x:row r="32" ht="64" customHeight="1">
      <x:c r="A32" s="83" t="str">
        <x:v>STOCK-D</x:v>
      </x:c>
      <x:c r="B32" s="83" t="str">
        <x:v>D-01 · D-101K and D-101L lower-panel pair</x:v>
      </x:c>
      <x:c r="C32" s="83" t="str">
        <x:v>Four staves at least 5/8 x 3-11/16 x 12-5/16; two glue-ups each at least 5/8 x 7-3/8 x 12-5/16</x:v>
      </x:c>
      <x:c r="D32" s="183"/>
      <x:c r="E32" s="183"/>
      <x:c r="F32" s="183"/>
      <x:c r="G32" s="183"/>
      <x:c r="H32" s="154" t="str"/>
      <x:c r="I32" s="83" t="str">
        <x:f>IF(OR(D32="",E32="",F32="",G32="",H32=""),"HOLD - ENTER VERIFIED DATA",IF(H32="PASS - SHOP INSPECTION","PASS - VERIFY AGAINST WRITTEN YIELD","FAIL / HOLD"))</x:f>
        <x:v>HOLD - ENTER VERIFIED DATA</x:v>
      </x:c>
      <x:c r="J32" s="83" t="str"/>
    </x:row>
    <x:row r="33" ht="64" customHeight="1">
      <x:c r="A33" s="83" t="str">
        <x:v>STOCK-D</x:v>
      </x:c>
      <x:c r="B33" s="83" t="str">
        <x:v>D-02 · Signed short-member face pool</x:v>
      </x:c>
      <x:c r="C33" s="83" t="str">
        <x:v>One 5/16-inch short-face mother billet at least 16-1/4 inches long; usable jointed width recorded on FP-05</x:v>
      </x:c>
      <x:c r="D33" s="183"/>
      <x:c r="E33" s="183"/>
      <x:c r="F33" s="183"/>
      <x:c r="G33" s="183"/>
      <x:c r="H33" s="154" t="str"/>
      <x:c r="I33" s="83" t="str">
        <x:f>IF(OR(D33="",E33="",F33="",G33="",H33=""),"HOLD - ENTER VERIFIED DATA",IF(H33="PASS - SHOP INSPECTION","PASS - VERIFY AGAINST WRITTEN YIELD","FAIL / HOLD"))</x:f>
        <x:v>HOLD - ENTER VERIFIED DATA</x:v>
      </x:c>
      <x:c r="J33" s="83" t="str"/>
    </x:row>
    <x:row r="34" ht="64" customHeight="1">
      <x:c r="A34" s="83" t="str">
        <x:v>STOCK-E</x:v>
      </x:c>
      <x:c r="B34" s="83" t="str">
        <x:v>E-01 · Signed short-member face pool</x:v>
      </x:c>
      <x:c r="C34" s="83" t="str">
        <x:v>Three clear 5/16-inch short-face mother billets at least 16-1/4 inches long with signed usable widths</x:v>
      </x:c>
      <x:c r="D34" s="183"/>
      <x:c r="E34" s="183"/>
      <x:c r="F34" s="183"/>
      <x:c r="G34" s="183"/>
      <x:c r="H34" s="154" t="str"/>
      <x:c r="I34" s="83" t="str">
        <x:f>IF(OR(D34="",E34="",F34="",G34="",H34=""),"HOLD - ENTER VERIFIED DATA",IF(H34="PASS - SHOP INSPECTION","PASS - VERIFY AGAINST WRITTEN YIELD","FAIL / HOLD"))</x:f>
        <x:v>HOLD - ENTER VERIFIED DATA</x:v>
      </x:c>
      <x:c r="J34" s="83" t="str"/>
    </x:row>
    <x:row r="35" ht="64" customHeight="1">
      <x:c r="A35" s="83" t="str">
        <x:v>STOCK-F</x:v>
      </x:c>
      <x:c r="B35" s="83" t="str">
        <x:v>F-01 · Signed short-member face pool</x:v>
      </x:c>
      <x:c r="C35" s="83" t="str">
        <x:v>Two clear 5/16-inch short-face mother billets at least 16-1/4 inches long with signed usable widths</x:v>
      </x:c>
      <x:c r="D35" s="183"/>
      <x:c r="E35" s="183"/>
      <x:c r="F35" s="183"/>
      <x:c r="G35" s="183"/>
      <x:c r="H35" s="154" t="str"/>
      <x:c r="I35" s="83" t="str">
        <x:f>IF(OR(D35="",E35="",F35="",G35="",H35=""),"HOLD - ENTER VERIFIED DATA",IF(H35="PASS - SHOP INSPECTION","PASS - VERIFY AGAINST WRITTEN YIELD","FAIL / HOLD"))</x:f>
        <x:v>HOLD - ENTER VERIFIED DATA</x:v>
      </x:c>
      <x:c r="J35" s="83" t="str"/>
    </x:row>
    <x:row r="36" ht="64" customHeight="1">
      <x:c r="A36" s="83" t="str">
        <x:v>STOCK-G</x:v>
      </x:c>
      <x:c r="B36" s="83" t="str">
        <x:v>G-01 · D-101J center panel</x:v>
      </x:c>
      <x:c r="C36" s="83" t="str">
        <x:v>Four S4S staves collectively at least 5/8 x 16-3/8 x 16-1/16 after glue-edge preparation; each starts 4-1/2 inches wide and 75 inches total length is available</x:v>
      </x:c>
      <x:c r="D36" s="183"/>
      <x:c r="E36" s="183"/>
      <x:c r="F36" s="183"/>
      <x:c r="G36" s="183"/>
      <x:c r="H36" s="154" t="str"/>
      <x:c r="I36" s="83" t="str">
        <x:f>IF(OR(D36="",E36="",F36="",G36="",H36=""),"HOLD - ENTER VERIFIED DATA",IF(H36="PASS - SHOP INSPECTION","PASS - VERIFY AGAINST WRITTEN YIELD","FAIL / HOLD"))</x:f>
        <x:v>HOLD - ENTER VERIFIED DATA</x:v>
      </x:c>
      <x:c r="J36" s="83" t="str"/>
    </x:row>
    <x:row r="37" ht="64" customHeight="1">
      <x:c r="A37" s="83" t="str">
        <x:v>STOCK-H</x:v>
      </x:c>
      <x:c r="B37" s="83" t="str">
        <x:v>H-01 · D-101N lower-center panel</x:v>
      </x:c>
      <x:c r="C37" s="83" t="str">
        <x:v>Three staves collectively at least 5/8 x 16-3/8 x 10-13/16 after jointing; 5.4584 inches minimum average jointed stave width</x:v>
      </x:c>
      <x:c r="D37" s="183"/>
      <x:c r="E37" s="183"/>
      <x:c r="F37" s="183"/>
      <x:c r="G37" s="183"/>
      <x:c r="H37" s="154" t="str"/>
      <x:c r="I37" s="83" t="str">
        <x:f>IF(OR(D37="",E37="",F37="",G37="",H37=""),"HOLD - ENTER VERIFIED DATA",IF(H37="PASS - SHOP INSPECTION","PASS - VERIFY AGAINST WRITTEN YIELD","FAIL / HOLD"))</x:f>
        <x:v>HOLD - ENTER VERIFIED DATA</x:v>
      </x:c>
      <x:c r="J37" s="83" t="str"/>
    </x:row>
    <x:row r="38" ht="64" customHeight="1">
      <x:c r="A38" s="83" t="str">
        <x:v>STOCK-H</x:v>
      </x:c>
      <x:c r="B38" s="83" t="str">
        <x:v>H-02 · Signed short-member face pool</x:v>
      </x:c>
      <x:c r="C38" s="83" t="str">
        <x:v>Two 5/16-inch short-face mother billets at least 16-1/4 inches long; usable jointed widths recorded on FP-05</x:v>
      </x:c>
      <x:c r="D38" s="183"/>
      <x:c r="E38" s="183"/>
      <x:c r="F38" s="183"/>
      <x:c r="G38" s="183"/>
      <x:c r="H38" s="154" t="str"/>
      <x:c r="I38" s="83" t="str">
        <x:f>IF(OR(D38="",E38="",F38="",G38="",H38=""),"HOLD - ENTER VERIFIED DATA",IF(H38="PASS - SHOP INSPECTION","PASS - VERIFY AGAINST WRITTEN YIELD","FAIL / HOLD"))</x:f>
        <x:v>HOLD - ENTER VERIFIED DATA</x:v>
      </x:c>
      <x:c r="J38" s="83" t="str"/>
    </x:row>
    <x:row r="39" ht="64" customHeight="1">
      <x:c r="A39" s="83" t="str">
        <x:v>STOCK-I</x:v>
      </x:c>
      <x:c r="B39" s="83" t="str">
        <x:v>I-01 · D-101B-CORE and D-101B-BF parallel continuous lanes</x:v>
      </x:c>
      <x:c r="C39" s="83" t="str">
        <x:v>One continuous 7/8 x 4-3/8 x 81 core and one continuous 5/16 x 4-3/8 x 81-1/8 back face</x:v>
      </x:c>
      <x:c r="D39" s="183"/>
      <x:c r="E39" s="183"/>
      <x:c r="F39" s="183"/>
      <x:c r="G39" s="183"/>
      <x:c r="H39" s="154" t="str"/>
      <x:c r="I39" s="83" t="str">
        <x:f>IF(OR(D39="",E39="",F39="",G39="",H39=""),"HOLD - ENTER VERIFIED DATA",IF(H39="PASS - SHOP INSPECTION","PASS - VERIFY AGAINST WRITTEN YIELD","FAIL / HOLD"))</x:f>
        <x:v>HOLD - ENTER VERIFIED DATA</x:v>
      </x:c>
      <x:c r="J39" s="83" t="str"/>
    </x:row>
    <x:row r="40" ht="64" customHeight="1">
      <x:c r="A40" s="83" t="str">
        <x:v>STOCK-J</x:v>
      </x:c>
      <x:c r="B40" s="83" t="str">
        <x:v>J-01 · D-101C/M-CORE + D-101F 6-1/2-inch wide core stave</x:v>
      </x:c>
      <x:c r="C40" s="83" t="str">
        <x:v>One-piece C/M cores plus the continuous 6-1/2-inch F core stave, all 7/8 x 16-1/4; traceable offcuts</x:v>
      </x:c>
      <x:c r="D40" s="183"/>
      <x:c r="E40" s="183"/>
      <x:c r="F40" s="183"/>
      <x:c r="G40" s="183"/>
      <x:c r="H40" s="154" t="str"/>
      <x:c r="I40" s="83" t="str">
        <x:f>IF(OR(D40="",E40="",F40="",G40="",H40=""),"HOLD - ENTER VERIFIED DATA",IF(H40="PASS - SHOP INSPECTION","PASS - VERIFY AGAINST WRITTEN YIELD","FAIL / HOLD"))</x:f>
        <x:v>HOLD - ENTER VERIFIED DATA</x:v>
      </x:c>
      <x:c r="J40" s="83" t="str"/>
    </x:row>
    <x:row r="41" ht="64" customHeight="1">
      <x:c r="A41" s="83" t="str">
        <x:v>STOCK-J</x:v>
      </x:c>
      <x:c r="B41" s="83" t="str">
        <x:v>J-02 · D-101G-CORE</x:v>
      </x:c>
      <x:c r="C41" s="83" t="str">
        <x:v>One continuous 7/8 x 3-1/4 x 12 muntin core plus a traceable face-pool width offcut</x:v>
      </x:c>
      <x:c r="D41" s="183"/>
      <x:c r="E41" s="183"/>
      <x:c r="F41" s="183"/>
      <x:c r="G41" s="183"/>
      <x:c r="H41" s="154" t="str"/>
      <x:c r="I41" s="83" t="str">
        <x:f>IF(OR(D41="",E41="",F41="",G41="",H41=""),"HOLD - ENTER VERIFIED DATA",IF(H41="PASS - SHOP INSPECTION","PASS - VERIFY AGAINST WRITTEN YIELD","FAIL / HOLD"))</x:f>
        <x:v>HOLD - ENTER VERIFIED DATA</x:v>
      </x:c>
      <x:c r="J41" s="83" t="str"/>
    </x:row>
    <x:row r="42" ht="64" customHeight="1">
      <x:c r="A42" s="83" t="str">
        <x:v>STOCK-K</x:v>
      </x:c>
      <x:c r="B42" s="83" t="str">
        <x:v>K-01 · D-101A-CORE and D-101A-BF parallel continuous lanes</x:v>
      </x:c>
      <x:c r="C42" s="83" t="str">
        <x:v>One continuous 7/8 x 4-3/8 x 81 core and one continuous 5/16 x 4-3/8 x 81-1/8 back face</x:v>
      </x:c>
      <x:c r="D42" s="183"/>
      <x:c r="E42" s="183"/>
      <x:c r="F42" s="183"/>
      <x:c r="G42" s="183"/>
      <x:c r="H42" s="154" t="str"/>
      <x:c r="I42" s="83" t="str">
        <x:f>IF(OR(D42="",E42="",F42="",G42="",H42=""),"HOLD - ENTER VERIFIED DATA",IF(H42="PASS - SHOP INSPECTION","PASS - VERIFY AGAINST WRITTEN YIELD","FAIL / HOLD"))</x:f>
        <x:v>HOLD - ENTER VERIFIED DATA</x:v>
      </x:c>
      <x:c r="J42" s="83" t="str"/>
    </x:row>
    <x:row r="43" ht="64" customHeight="1">
      <x:c r="A43" s="83" t="str">
        <x:v>STOCK-L</x:v>
      </x:c>
      <x:c r="B43" s="83" t="str">
        <x:v>L-01 · D-101E-CORE + both D-101D core staves + D-101F 5-3/4-inch stave</x:v>
      </x:c>
      <x:c r="C43" s="83" t="str">
        <x:v>One-piece E core, both D core staves, the 5-3/4-inch F core stave, and traceable offcuts</x:v>
      </x:c>
      <x:c r="D43" s="183"/>
      <x:c r="E43" s="183"/>
      <x:c r="F43" s="183"/>
      <x:c r="G43" s="183"/>
      <x:c r="H43" s="154" t="str"/>
      <x:c r="I43" s="83" t="str">
        <x:f>IF(OR(D43="",E43="",F43="",G43="",H43=""),"HOLD - ENTER VERIFIED DATA",IF(H43="PASS - SHOP INSPECTION","PASS - VERIFY AGAINST WRITTEN YIELD","FAIL / HOLD"))</x:f>
        <x:v>HOLD - ENTER VERIFIED DATA</x:v>
      </x:c>
      <x:c r="J43" s="83" t="str"/>
    </x:row>
  </x:sheetData>
  <x:mergeCells>
    <x:mergeCell ref="A1:J2"/>
    <x:mergeCell ref="A3:J4"/>
    <x:mergeCell ref="A23:J23"/>
    <x:mergeCell ref="A24:J25"/>
  </x:mergeCells>
  <x:conditionalFormatting sqref="I28:I43">
    <x:cfRule type="containsText" dxfId="0" priority="1" operator="containsText" text="PASS"/>
    <x:cfRule type="containsText" dxfId="1" priority="2" operator="containsText" text="HOLD"/>
    <x:cfRule type="containsText" dxfId="2" priority="3" operator="containsText" text="FAIL"/>
  </x:conditionalFormatting>
  <x:dataValidations count="2">
    <x:dataValidation type="list" sqref="J7:J21">
      <x:formula1>"HOLD - UNMEASURED,PASS - MAPPED,FAIL - REJECT"</x:formula1>
    </x:dataValidation>
    <x:dataValidation type="list" sqref="H28:H43">
      <x:formula1>"PASS - SHOP INSPECTION,HOLD - REWORK,FAIL - REJECT"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8d3a94035ab42b0"/>
    <x:tablePart xmlns:r="http://schemas.openxmlformats.org/officeDocument/2006/relationships" r:id="R8248cae52f6a45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" hidden="0" customWidth="1"/>
    <x:col min="3" max="3" width="11" hidden="0" customWidth="1"/>
    <x:col min="4" max="4" width="28" hidden="0" customWidth="1"/>
    <x:col min="5" max="5" width="8" hidden="0" customWidth="1"/>
    <x:col min="6" max="6" width="12" hidden="0" customWidth="1"/>
    <x:col min="7" max="7" width="10" hidden="0" customWidth="1"/>
    <x:col min="8" max="8" width="9" hidden="0" customWidth="1"/>
    <x:col min="9" max="9" width="14" hidden="0" customWidth="1"/>
    <x:col min="10" max="10" width="12" hidden="0" customWidth="1"/>
    <x:col min="11" max="11" width="14" hidden="0" customWidth="1"/>
    <x:col min="12" max="12" width="42" hidden="0" customWidth="1"/>
    <x:col min="13" max="13" width="39" hidden="0" customWidth="1"/>
    <x:col min="14" max="14" width="24" hidden="0" customWidth="1"/>
    <x:col min="15" max="15" width="44" hidden="0" customWidth="1"/>
  </x:cols>
  <x:sheetData>
    <x:row r="1" ht="28" customHeight="1">
      <x:c r="A1" s="21" t="str">
        <x:v>LS-05 Door Operations and Lamination Map</x:v>
      </x:c>
      <x:c r="B1" s="22" t="str">
        <x:v>LS-05 Door Operations and Lamination Map</x:v>
      </x:c>
      <x:c r="C1" s="22" t="str">
        <x:v>LS-05 Door Operations and Lamination Map</x:v>
      </x:c>
      <x:c r="D1" s="22" t="str">
        <x:v>LS-05 Door Operations and Lamination Map</x:v>
      </x:c>
      <x:c r="E1" s="22" t="str">
        <x:v>LS-05 Door Operations and Lamination Map</x:v>
      </x:c>
      <x:c r="F1" s="22" t="str">
        <x:v>LS-05 Door Operations and Lamination Map</x:v>
      </x:c>
      <x:c r="G1" s="22" t="str">
        <x:v>LS-05 Door Operations and Lamination Map</x:v>
      </x:c>
      <x:c r="H1" s="22" t="str">
        <x:v>LS-05 Door Operations and Lamination Map</x:v>
      </x:c>
      <x:c r="I1" s="22" t="str">
        <x:v>LS-05 Door Operations and Lamination Map</x:v>
      </x:c>
      <x:c r="J1" s="22" t="str">
        <x:v>LS-05 Door Operations and Lamination Map</x:v>
      </x:c>
      <x:c r="K1" s="22" t="str">
        <x:v>LS-05 Door Operations and Lamination Map</x:v>
      </x:c>
      <x:c r="L1" s="22" t="str">
        <x:v>LS-05 Door Operations and Lamination Map</x:v>
      </x:c>
      <x:c r="M1" s="22" t="str">
        <x:v>LS-05 Door Operations and Lamination Map</x:v>
      </x:c>
      <x:c r="N1" s="22" t="str">
        <x:v>LS-05 Door Operations and Lamination Map</x:v>
      </x:c>
      <x:c r="O1" s="23" t="str">
        <x:v>LS-05 Door Operations and Lamination Map</x:v>
      </x:c>
    </x:row>
    <x:row r="2" ht="28" customHeight="1">
      <x:c r="A2" s="24" t="str">
        <x:v>LS-05 Door Operations and Lamination Map</x:v>
      </x:c>
      <x:c r="B2" s="25" t="str">
        <x:v>LS-05 Door Operations and Lamination Map</x:v>
      </x:c>
      <x:c r="C2" s="25" t="str">
        <x:v>LS-05 Door Operations and Lamination Map</x:v>
      </x:c>
      <x:c r="D2" s="25" t="str">
        <x:v>LS-05 Door Operations and Lamination Map</x:v>
      </x:c>
      <x:c r="E2" s="25" t="str">
        <x:v>LS-05 Door Operations and Lamination Map</x:v>
      </x:c>
      <x:c r="F2" s="25" t="str">
        <x:v>LS-05 Door Operations and Lamination Map</x:v>
      </x:c>
      <x:c r="G2" s="25" t="str">
        <x:v>LS-05 Door Operations and Lamination Map</x:v>
      </x:c>
      <x:c r="H2" s="25" t="str">
        <x:v>LS-05 Door Operations and Lamination Map</x:v>
      </x:c>
      <x:c r="I2" s="25" t="str">
        <x:v>LS-05 Door Operations and Lamination Map</x:v>
      </x:c>
      <x:c r="J2" s="25" t="str">
        <x:v>LS-05 Door Operations and Lamination Map</x:v>
      </x:c>
      <x:c r="K2" s="25" t="str">
        <x:v>LS-05 Door Operations and Lamination Map</x:v>
      </x:c>
      <x:c r="L2" s="25" t="str">
        <x:v>LS-05 Door Operations and Lamination Map</x:v>
      </x:c>
      <x:c r="M2" s="25" t="str">
        <x:v>LS-05 Door Operations and Lamination Map</x:v>
      </x:c>
      <x:c r="N2" s="25" t="str">
        <x:v>LS-05 Door Operations and Lamination Map</x:v>
      </x:c>
      <x:c r="O2" s="26" t="str">
        <x:v>LS-05 Door Operations and Lamination Map</x:v>
      </x:c>
    </x:row>
    <x:row r="3">
      <x:c r="A3" s="146" t="str">
        <x:v>Length use includes the 1/8-inch planning kerf and each operation's explicit end reserve. Shared-board operations use zero additional reserve where stated. Paper fit never overrides actual clear squared-end yield.</x:v>
      </x:c>
      <x:c r="B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C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D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E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F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G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H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I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J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K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L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M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N3" s="147" t="str">
        <x:v>Length use includes the 1/8-inch planning kerf and each operation's explicit end reserve. Shared-board operations use zero additional reserve where stated. Paper fit never overrides actual clear squared-end yield.</x:v>
      </x:c>
      <x:c r="O3" s="148" t="str">
        <x:v>Length use includes the 1/8-inch planning kerf and each operation's explicit end reserve. Shared-board operations use zero additional reserve where stated. Paper fit never overrides actual clear squared-end yield.</x:v>
      </x:c>
    </x:row>
    <x:row r="4">
      <x:c r="A4" s="149" t="str">
        <x:v>Length use includes the 1/8-inch planning kerf and each operation's explicit end reserve. Shared-board operations use zero additional reserve where stated. Paper fit never overrides actual clear squared-end yield.</x:v>
      </x:c>
      <x:c r="B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C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D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E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F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G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H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I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J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K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L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M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N4" s="150" t="str">
        <x:v>Length use includes the 1/8-inch planning kerf and each operation's explicit end reserve. Shared-board operations use zero additional reserve where stated. Paper fit never overrides actual clear squared-end yield.</x:v>
      </x:c>
      <x:c r="O4" s="151" t="str">
        <x:v>Length use includes the 1/8-inch planning kerf and each operation's explicit end reserve. Shared-board operations use zero additional reserve where stated. Paper fit never overrides actual clear squared-end yield.</x:v>
      </x:c>
    </x:row>
    <x:row r="6">
      <x:c r="A6" s="153" t="str">
        <x:v>Stock</x:v>
      </x:c>
      <x:c r="B6" s="153" t="str">
        <x:v>Seq</x:v>
      </x:c>
      <x:c r="C6" s="153" t="str">
        <x:v>Op ID</x:v>
      </x:c>
      <x:c r="D6" s="153" t="str">
        <x:v>Target</x:v>
      </x:c>
      <x:c r="E6" s="153" t="str">
        <x:v>Qty</x:v>
      </x:c>
      <x:c r="F6" s="153" t="str">
        <x:v>Segment L</x:v>
      </x:c>
      <x:c r="G6" s="153" t="str">
        <x:v>Crosscuts</x:v>
      </x:c>
      <x:c r="H6" s="153" t="str">
        <x:v>Kerf</x:v>
      </x:c>
      <x:c r="I6" s="153" t="str">
        <x:v>Cuts + kerfs</x:v>
      </x:c>
      <x:c r="J6" s="153" t="str">
        <x:v>End reserve</x:v>
      </x:c>
      <x:c r="K6" s="153" t="str">
        <x:v>Total planned</x:v>
      </x:c>
      <x:c r="L6" s="153" t="str">
        <x:v>Rip / milling plan</x:v>
      </x:c>
      <x:c r="M6" s="153" t="str">
        <x:v>Required yield</x:v>
      </x:c>
      <x:c r="N6" s="153" t="str">
        <x:v>Status</x:v>
      </x:c>
      <x:c r="O6" s="153" t="str">
        <x:v>Notes</x:v>
      </x:c>
    </x:row>
    <x:row r="7" ht="54" customHeight="1">
      <x:c r="A7" s="83" t="str">
        <x:v>STOCK-M</x:v>
      </x:c>
      <x:c r="B7" s="83" t="n">
        <x:v>1</x:v>
      </x:c>
      <x:c r="C7" s="83" t="str">
        <x:v>M-01</x:v>
      </x:c>
      <x:c r="D7" s="83" t="str">
        <x:v>D-101H upper panel</x:v>
      </x:c>
      <x:c r="E7" s="83" t="n">
        <x:v>3</x:v>
      </x:c>
      <x:c r="F7" s="84" t="n">
        <x:v>15.5625</x:v>
      </x:c>
      <x:c r="G7" s="84" t="n">
        <x:v>3</x:v>
      </x:c>
      <x:c r="H7" s="84" t="n">
        <x:v>0.125</x:v>
      </x:c>
      <x:c r="I7" s="84" t="n">
        <x:f>E7*F7+G7*H7</x:f>
        <x:v>47.0625</x:v>
      </x:c>
      <x:c r="J7" s="84" t="n">
        <x:v>2</x:v>
      </x:c>
      <x:c r="K7" s="84" t="n">
        <x:f>I7+J7</x:f>
        <x:v>49.0625</x:v>
      </x:c>
      <x:c r="L7" s="83" t="str">
        <x:v>After verifying the reported finished board, crosscut three shop billets, rip each to a staged width above 5.4584 inches, establish glue edges, and preserve aggregate jointed width for the oversize panel blank. Keep the 49-15/16-inch controlled tail intact before M-02</x:v>
      </x:c>
      <x:c r="M7" s="83" t="str">
        <x:v>Three staves collectively at least 5/8 x 16-3/8 x 15-9/16 after jointing; 5.4584 inches minimum average jointed stave width</x:v>
      </x:c>
      <x:c r="N7" s="156" t="str">
        <x:v>HOLD - VERIFIED MILLING REQUIRED</x:v>
      </x:c>
      <x:c r="O7" s="83" t="str">
        <x:v>Keep the 49-15/16-inch controlled tail intact before M-02. D-101H has priority; two face billets remain conditional on a clear signed tail.</x:v>
      </x:c>
    </x:row>
    <x:row r="8" ht="54" customHeight="1">
      <x:c r="A8" s="83" t="str">
        <x:v>STOCK-M</x:v>
      </x:c>
      <x:c r="B8" s="83" t="n">
        <x:v>2</x:v>
      </x:c>
      <x:c r="C8" s="83" t="str">
        <x:v>M-02</x:v>
      </x:c>
      <x:c r="D8" s="83" t="str">
        <x:v>Signed short-member face pool</x:v>
      </x:c>
      <x:c r="E8" s="83" t="n">
        <x:v>2</x:v>
      </x:c>
      <x:c r="F8" s="84" t="n">
        <x:v>16.25</x:v>
      </x:c>
      <x:c r="G8" s="84" t="n">
        <x:v>2</x:v>
      </x:c>
      <x:c r="H8" s="84" t="n">
        <x:v>0.125</x:v>
      </x:c>
      <x:c r="I8" s="84" t="n">
        <x:f>E8*F8+G8*H8</x:f>
        <x:v>32.75</x:v>
      </x:c>
      <x:c r="J8" s="84" t="n">
        <x:v>0</x:v>
      </x:c>
      <x:c r="K8" s="84" t="n">
        <x:f>I8+J8</x:f>
        <x:v>32.75</x:v>
      </x:c>
      <x:c r="L8" s="83" t="str">
        <x:v>After D-101H passes, cut up to two clear mother billets from the retained tail and plane each whole-thickness billet to 5/16 on a verified carrier</x:v>
      </x:c>
      <x:c r="M8" s="83" t="str">
        <x:v>Two 5/16-inch short-face mother billets at least 16-1/4 inches long; usable jointed widths recorded on FP-05</x:v>
      </x:c>
      <x:c r="N8" s="156" t="str">
        <x:v>HOLD - AFTER PANEL AND SIGNED FACE-POOL MAP</x:v>
      </x:c>
      <x:c r="O8" s="83" t="str">
        <x:v>M-01 and M-02 share STOCK-M's single 2-inch board-end reserve; the controlled full pattern leaves 17-3/16 inches on paper.</x:v>
      </x:c>
    </x:row>
    <x:row r="9" ht="54" customHeight="1">
      <x:c r="A9" s="83" t="str">
        <x:v>STOCK-B</x:v>
      </x:c>
      <x:c r="B9" s="83" t="n">
        <x:v>1</x:v>
      </x:c>
      <x:c r="C9" s="83" t="str">
        <x:v>B-01</x:v>
      </x:c>
      <x:c r="D9" s="83" t="str">
        <x:v>D-101A-SF continuous hinge-stile show face</x:v>
      </x:c>
      <x:c r="E9" s="83" t="n">
        <x:v>1</x:v>
      </x:c>
      <x:c r="F9" s="84" t="n">
        <x:v>81.125</x:v>
      </x:c>
      <x:c r="G9" s="84" t="n">
        <x:v>1</x:v>
      </x:c>
      <x:c r="H9" s="84" t="n">
        <x:v>0.125</x:v>
      </x:c>
      <x:c r="I9" s="84" t="n">
        <x:f>E9*F9+G9*H9</x:f>
        <x:v>81.25</x:v>
      </x:c>
      <x:c r="J9" s="84" t="n">
        <x:v>3.75</x:v>
      </x:c>
      <x:c r="K9" s="84" t="n">
        <x:f>I9+J9</x:f>
        <x:v>85</x:v>
      </x:c>
      <x:c r="L9" s="83" t="str">
        <x:v>Preserve full length; flatten and joint a 4-3/8-inch clear lane, then plane the whole board in shallow staged passes to a stable 5/16-inch lamella using a verified carrier below normal planer capacity</x:v>
      </x:c>
      <x:c r="M9" s="83" t="str">
        <x:v>One continuous glue-ready lamella at least 5/16 x 4-3/8 x 81-1/8</x:v>
      </x:c>
      <x:c r="N9" s="156" t="str">
        <x:v>STOP - CONTINUOUS FACE AND CARRIER-PLANING YIELD</x:v>
      </x:c>
      <x:c r="O9" s="83" t="str">
        <x:v>No end joint, through knot, check, pith, taper, or unstable grain is permitted.</x:v>
      </x:c>
    </x:row>
    <x:row r="10" ht="54" customHeight="1">
      <x:c r="A10" s="83" t="str">
        <x:v>STOCK-C</x:v>
      </x:c>
      <x:c r="B10" s="83" t="n">
        <x:v>1</x:v>
      </x:c>
      <x:c r="C10" s="83" t="str">
        <x:v>C-01</x:v>
      </x:c>
      <x:c r="D10" s="83" t="str">
        <x:v>D-101B-SF continuous lock-stile show face plus longitudinal short-face strips</x:v>
      </x:c>
      <x:c r="E10" s="83" t="n">
        <x:v>1</x:v>
      </x:c>
      <x:c r="F10" s="84" t="n">
        <x:v>81.125</x:v>
      </x:c>
      <x:c r="G10" s="84" t="n">
        <x:v>1</x:v>
      </x:c>
      <x:c r="H10" s="84" t="n">
        <x:v>0.125</x:v>
      </x:c>
      <x:c r="I10" s="84" t="n">
        <x:f>E10*F10+G10*H10</x:f>
        <x:v>81.25</x:v>
      </x:c>
      <x:c r="J10" s="84" t="n">
        <x:v>1.875</x:v>
      </x:c>
      <x:c r="K10" s="84" t="n">
        <x:f>I10+J10</x:f>
        <x:v>83.125</x:v>
      </x:c>
      <x:c r="L10" s="83" t="str">
        <x:v>Preserve full length; establish a 4-3/8-inch face lane and retain the parallel longitudinal width offcut. Plane the whole-thickness face lane and eligible offcut strips in staged carrier-supported passes to 5/16.</x:v>
      </x:c>
      <x:c r="M10" s="83" t="str">
        <x:v>One continuous glue-ready lamella at least 5/16 x 4-3/8 x 81-1/8 plus traceable 16-1/4-inch strips for FP-05 where jointed width survives</x:v>
      </x:c>
      <x:c r="N10" s="156" t="str">
        <x:v>STOP - LENGTH-CRITICAL FACE YIELD</x:v>
      </x:c>
      <x:c r="O10" s="83" t="str">
        <x:v>Only 2 inches of raw length exceed the 81-1/8-inch face target before the planned crosscut; the 1/8-inch kerf and 1-7/8-inch squared-end reserve consume that complete excess. Measure the actual clear squared length before cutting.</x:v>
      </x:c>
    </x:row>
    <x:row r="11" ht="54" customHeight="1">
      <x:c r="A11" s="83" t="str">
        <x:v>STOCK-D</x:v>
      </x:c>
      <x:c r="B11" s="83" t="n">
        <x:v>1</x:v>
      </x:c>
      <x:c r="C11" s="83" t="str">
        <x:v>D-01</x:v>
      </x:c>
      <x:c r="D11" s="83" t="str">
        <x:v>D-101K and D-101L lower-panel pair</x:v>
      </x:c>
      <x:c r="E11" s="83" t="n">
        <x:v>4</x:v>
      </x:c>
      <x:c r="F11" s="84" t="n">
        <x:v>12.3125</x:v>
      </x:c>
      <x:c r="G11" s="84" t="n">
        <x:v>4</x:v>
      </x:c>
      <x:c r="H11" s="84" t="n">
        <x:v>0.125</x:v>
      </x:c>
      <x:c r="I11" s="84" t="n">
        <x:f>E11*F11+G11*H11</x:f>
        <x:v>49.75</x:v>
      </x:c>
      <x:c r="J11" s="84" t="n">
        <x:v>2</x:v>
      </x:c>
      <x:c r="K11" s="84" t="n">
        <x:f>I11+J11</x:f>
        <x:v>51.75</x:v>
      </x:c>
      <x:c r="L11" s="83" t="str">
        <x:v>Crosscut four staves after defect mapping; flatten and joint them, then pair two per panel with mirrored grain and color</x:v>
      </x:c>
      <x:c r="M11" s="83" t="str">
        <x:v>Four staves at least 5/8 x 3-11/16 x 12-5/16; two glue-ups each at least 5/8 x 7-3/8 x 12-5/16</x:v>
      </x:c>
      <x:c r="N11" s="156" t="str">
        <x:v>HOLD - VERIFIED MILLING REQUIRED</x:v>
      </x:c>
      <x:c r="O11" s="83" t="str">
        <x:v>The two finished lower panels must read as a deliberate visual pair.</x:v>
      </x:c>
    </x:row>
    <x:row r="12" ht="54" customHeight="1">
      <x:c r="A12" s="83" t="str">
        <x:v>STOCK-D</x:v>
      </x:c>
      <x:c r="B12" s="83" t="n">
        <x:v>2</x:v>
      </x:c>
      <x:c r="C12" s="83" t="str">
        <x:v>D-02</x:v>
      </x:c>
      <x:c r="D12" s="83" t="str">
        <x:v>Signed short-member face pool</x:v>
      </x:c>
      <x:c r="E12" s="83" t="n">
        <x:v>1</x:v>
      </x:c>
      <x:c r="F12" s="84" t="n">
        <x:v>16.25</x:v>
      </x:c>
      <x:c r="G12" s="84" t="n">
        <x:v>1</x:v>
      </x:c>
      <x:c r="H12" s="84" t="n">
        <x:v>0.125</x:v>
      </x:c>
      <x:c r="I12" s="84" t="n">
        <x:f>E12*F12+G12*H12</x:f>
        <x:v>16.375</x:v>
      </x:c>
      <x:c r="J12" s="84" t="n">
        <x:v>0</x:v>
      </x:c>
      <x:c r="K12" s="84" t="n">
        <x:f>I12+J12</x:f>
        <x:v>16.375</x:v>
      </x:c>
      <x:c r="L12" s="83" t="str">
        <x:v>After both lower panels pass, cut one clear mother billet from the retained tail and plane the whole-thickness billet to 5/16 on a verified carrier</x:v>
      </x:c>
      <x:c r="M12" s="83" t="str">
        <x:v>One 5/16-inch short-face mother billet at least 16-1/4 inches long; usable jointed width recorded on FP-05</x:v>
      </x:c>
      <x:c r="N12" s="156" t="str">
        <x:v>HOLD - AFTER PANELS AND SIGNED FACE-POOL MAP</x:v>
      </x:c>
      <x:c r="O12" s="83" t="str">
        <x:v>D-01 and D-02 share STOCK-D's single 2-inch board-end reserve.</x:v>
      </x:c>
    </x:row>
    <x:row r="13" ht="54" customHeight="1">
      <x:c r="A13" s="83" t="str">
        <x:v>STOCK-E</x:v>
      </x:c>
      <x:c r="B13" s="83" t="n">
        <x:v>1</x:v>
      </x:c>
      <x:c r="C13" s="83" t="str">
        <x:v>E-01</x:v>
      </x:c>
      <x:c r="D13" s="83" t="str">
        <x:v>Signed short-member face pool</x:v>
      </x:c>
      <x:c r="E13" s="83" t="n">
        <x:v>3</x:v>
      </x:c>
      <x:c r="F13" s="84" t="n">
        <x:v>16.25</x:v>
      </x:c>
      <x:c r="G13" s="84" t="n">
        <x:v>3</x:v>
      </x:c>
      <x:c r="H13" s="84" t="n">
        <x:v>0.125</x:v>
      </x:c>
      <x:c r="I13" s="84" t="n">
        <x:f>E13*F13+G13*H13</x:f>
        <x:v>49.125</x:v>
      </x:c>
      <x:c r="J13" s="84" t="n">
        <x:v>2</x:v>
      </x:c>
      <x:c r="K13" s="84" t="n">
        <x:f>I13+J13</x:f>
        <x:v>51.125</x:v>
      </x:c>
      <x:c r="L13" s="83" t="str">
        <x:v>Map every knot and check first. Subject to FP-05, cut three clear mother billets and plane each whole-thickness billet to 5/16 in staged carrier-supported passes.</x:v>
      </x:c>
      <x:c r="M13" s="83" t="str">
        <x:v>Three clear 5/16-inch short-face mother billets at least 16-1/4 inches long with signed usable widths</x:v>
      </x:c>
      <x:c r="N13" s="156" t="str">
        <x:v>STOP - KNOT MAP AND FACE-POOL RELEASE</x:v>
      </x:c>
      <x:c r="O13" s="83" t="str">
        <x:v>E-01 and F-01 together must provide at least five accepted 16-1/4-inch mother billets; FP-05 may redistribute the three-plus-two planning split without reducing the combined minimum.</x:v>
      </x:c>
    </x:row>
    <x:row r="14" ht="54" customHeight="1">
      <x:c r="A14" s="83" t="str">
        <x:v>STOCK-F</x:v>
      </x:c>
      <x:c r="B14" s="83" t="n">
        <x:v>1</x:v>
      </x:c>
      <x:c r="C14" s="83" t="str">
        <x:v>F-01</x:v>
      </x:c>
      <x:c r="D14" s="83" t="str">
        <x:v>Signed short-member face pool</x:v>
      </x:c>
      <x:c r="E14" s="83" t="n">
        <x:v>2</x:v>
      </x:c>
      <x:c r="F14" s="84" t="n">
        <x:v>16.25</x:v>
      </x:c>
      <x:c r="G14" s="84" t="n">
        <x:v>2</x:v>
      </x:c>
      <x:c r="H14" s="84" t="n">
        <x:v>0.125</x:v>
      </x:c>
      <x:c r="I14" s="84" t="n">
        <x:f>E14*F14+G14*H14</x:f>
        <x:v>32.75</x:v>
      </x:c>
      <x:c r="J14" s="84" t="n">
        <x:v>2</x:v>
      </x:c>
      <x:c r="K14" s="84" t="n">
        <x:f>I14+J14</x:f>
        <x:v>34.75</x:v>
      </x:c>
      <x:c r="L14" s="83" t="str">
        <x:v>Map every knot and check first. Subject to FP-05, cut two clear mother billets and plane each whole-thickness billet to 5/16 in staged carrier-supported passes.</x:v>
      </x:c>
      <x:c r="M14" s="83" t="str">
        <x:v>Two clear 5/16-inch short-face mother billets at least 16-1/4 inches long with signed usable widths</x:v>
      </x:c>
      <x:c r="N14" s="156" t="str">
        <x:v>STOP - KNOT MAP AND FACE-POOL RELEASE</x:v>
      </x:c>
      <x:c r="O14" s="83" t="str">
        <x:v>E-01 and F-01 together must provide at least five accepted 16-1/4-inch mother billets; no knot, bark inclusion, check, or unstable grain may enter a face or glue zone.</x:v>
      </x:c>
    </x:row>
    <x:row r="15" ht="54" customHeight="1">
      <x:c r="A15" s="83" t="str">
        <x:v>STOCK-G</x:v>
      </x:c>
      <x:c r="B15" s="83" t="n">
        <x:v>1</x:v>
      </x:c>
      <x:c r="C15" s="83" t="str">
        <x:v>G-01</x:v>
      </x:c>
      <x:c r="D15" s="83" t="str">
        <x:v>D-101J center panel</x:v>
      </x:c>
      <x:c r="E15" s="83" t="n">
        <x:v>4</x:v>
      </x:c>
      <x:c r="F15" s="84" t="n">
        <x:v>16.0625</x:v>
      </x:c>
      <x:c r="G15" s="84" t="n">
        <x:v>4</x:v>
      </x:c>
      <x:c r="H15" s="84" t="n">
        <x:v>0.125</x:v>
      </x:c>
      <x:c r="I15" s="84" t="n">
        <x:f>E15*F15+G15*H15</x:f>
        <x:v>64.75</x:v>
      </x:c>
      <x:c r="J15" s="84" t="n">
        <x:v>2</x:v>
      </x:c>
      <x:c r="K15" s="84" t="n">
        <x:f>I15+J15</x:f>
        <x:v>66.75</x:v>
      </x:c>
      <x:c r="L15" s="83" t="str">
        <x:v>The confirmed 15/16-inch S4S thickness passes the 5/8-inch minimum. After CHK-P-01 maps four clear billets, crosscut and make only the minimum glue-edge cleanup required; assemble in vertical-grain sequence.</x:v>
      </x:c>
      <x:c r="M15" s="83" t="str">
        <x:v>Four S4S staves collectively at least 5/8 x 16-3/8 x 16-1/16 after glue-edge preparation; each starts 4-1/2 inches wide and 75 inches total length is available</x:v>
      </x:c>
      <x:c r="N15" s="154" t="str">
        <x:v>CONDITIONAL - THICKNESS/WIDTH/LENGTH PASS; VERIFY PANEL MAP</x:v>
      </x:c>
      <x:c r="O15" s="83" t="str">
        <x:v>The confirmed 15/16-inch S4S thickness exceeds the 5/8-inch panel minimum by 5/16 inch. Width and length also pass: 18 inches aggregate current width and 8-1/4 inches before the shared 2-inch reserve, leaving a 6-1/4-inch planning tail. CHK-P-01 still controls physical yield.</x:v>
      </x:c>
    </x:row>
    <x:row r="16" ht="54" customHeight="1">
      <x:c r="A16" s="83" t="str">
        <x:v>STOCK-H</x:v>
      </x:c>
      <x:c r="B16" s="83" t="n">
        <x:v>1</x:v>
      </x:c>
      <x:c r="C16" s="83" t="str">
        <x:v>H-01</x:v>
      </x:c>
      <x:c r="D16" s="83" t="str">
        <x:v>D-101N lower-center panel</x:v>
      </x:c>
      <x:c r="E16" s="83" t="n">
        <x:v>3</x:v>
      </x:c>
      <x:c r="F16" s="84" t="n">
        <x:v>10.8125</x:v>
      </x:c>
      <x:c r="G16" s="84" t="n">
        <x:v>3</x:v>
      </x:c>
      <x:c r="H16" s="84" t="n">
        <x:v>0.125</x:v>
      </x:c>
      <x:c r="I16" s="84" t="n">
        <x:f>E16*F16+G16*H16</x:f>
        <x:v>32.8125</x:v>
      </x:c>
      <x:c r="J16" s="84" t="n">
        <x:v>2</x:v>
      </x:c>
      <x:c r="K16" s="84" t="n">
        <x:f>I16+J16</x:f>
        <x:v>34.8125</x:v>
      </x:c>
      <x:c r="L16" s="83" t="str">
        <x:v>Crosscut three staves only after the board proves 5/8 thickness over every required segment; flatten minimally and joint glue edges</x:v>
      </x:c>
      <x:c r="M16" s="83" t="str">
        <x:v>Three staves collectively at least 5/8 x 16-3/8 x 10-13/16 after jointing; 5.4584 inches minimum average jointed stave width</x:v>
      </x:c>
      <x:c r="N16" s="156" t="str">
        <x:v>STOP - THICKNESS-CRITICAL PANEL YIELD</x:v>
      </x:c>
      <x:c r="O16" s="83" t="str">
        <x:v>The 7/8-inch raw thickness has only 1/4 inch total flattening allowance.</x:v>
      </x:c>
    </x:row>
    <x:row r="17" ht="54" customHeight="1">
      <x:c r="A17" s="83" t="str">
        <x:v>STOCK-H</x:v>
      </x:c>
      <x:c r="B17" s="83" t="n">
        <x:v>2</x:v>
      </x:c>
      <x:c r="C17" s="83" t="str">
        <x:v>H-02</x:v>
      </x:c>
      <x:c r="D17" s="83" t="str">
        <x:v>Signed short-member face pool</x:v>
      </x:c>
      <x:c r="E17" s="83" t="n">
        <x:v>2</x:v>
      </x:c>
      <x:c r="F17" s="84" t="n">
        <x:v>16.25</x:v>
      </x:c>
      <x:c r="G17" s="84" t="n">
        <x:v>2</x:v>
      </x:c>
      <x:c r="H17" s="84" t="n">
        <x:v>0.125</x:v>
      </x:c>
      <x:c r="I17" s="84" t="n">
        <x:f>E17*F17+G17*H17</x:f>
        <x:v>32.75</x:v>
      </x:c>
      <x:c r="J17" s="84" t="n">
        <x:v>0</x:v>
      </x:c>
      <x:c r="K17" s="84" t="n">
        <x:f>I17+J17</x:f>
        <x:v>32.75</x:v>
      </x:c>
      <x:c r="L17" s="83" t="str">
        <x:v>After D-101N passes, cut two clear mother billets from the retained tail and plane each whole-thickness billet to 5/16 on a verified carrier</x:v>
      </x:c>
      <x:c r="M17" s="83" t="str">
        <x:v>Two 5/16-inch short-face mother billets at least 16-1/4 inches long; usable jointed widths recorded on FP-05</x:v>
      </x:c>
      <x:c r="N17" s="156" t="str">
        <x:v>HOLD - AFTER PANEL AND SIGNED FACE-POOL MAP</x:v>
      </x:c>
      <x:c r="O17" s="83" t="str">
        <x:v>H-01 and H-02 share STOCK-H's single 2-inch board-end reserve.</x:v>
      </x:c>
    </x:row>
    <x:row r="18" ht="54" customHeight="1">
      <x:c r="A18" s="83" t="str">
        <x:v>STOCK-I</x:v>
      </x:c>
      <x:c r="B18" s="83" t="n">
        <x:v>1</x:v>
      </x:c>
      <x:c r="C18" s="83" t="str">
        <x:v>I-01</x:v>
      </x:c>
      <x:c r="D18" s="83" t="str">
        <x:v>D-101B-CORE and D-101B-BF parallel continuous lanes</x:v>
      </x:c>
      <x:c r="E18" s="83" t="n">
        <x:v>1</x:v>
      </x:c>
      <x:c r="F18" s="84" t="n">
        <x:v>81.125</x:v>
      </x:c>
      <x:c r="G18" s="84" t="n">
        <x:v>1</x:v>
      </x:c>
      <x:c r="H18" s="84" t="n">
        <x:v>0.125</x:v>
      </x:c>
      <x:c r="I18" s="84" t="n">
        <x:f>E18*F18+G18*H18</x:f>
        <x:v>81.25</x:v>
      </x:c>
      <x:c r="J18" s="84" t="n">
        <x:v>3.5</x:v>
      </x:c>
      <x:c r="K18" s="84" t="n">
        <x:f>I18+J18</x:f>
        <x:v>84.75</x:v>
      </x:c>
      <x:c r="L18" s="83" t="str">
        <x:v>Preserve full length; flatten and joint to at least 8-7/8 inches clear, then make one ordinary full-length width rip yielding two 4-3/8-inch lanes and one 1/8-inch kerf. Plane one lane to a 7/8-inch core and the other, in staged carrier-supported passes, to a 5/16-inch back face.</x:v>
      </x:c>
      <x:c r="M18" s="83" t="str">
        <x:v>One continuous 7/8 x 4-3/8 x 81 core and one continuous 5/16 x 4-3/8 x 81-1/8 back face</x:v>
      </x:c>
      <x:c r="N18" s="156" t="str">
        <x:v>STOP - TWO-LANE WIDTH, LENGTH, AND THICKNESS YIELD</x:v>
      </x:c>
      <x:c r="O18" s="83" t="str">
        <x:v>The 8-7/8-inch gate is exact: 4-3/8 + 1/8 kerf + 4-3/8. Keep the lock, groove, Domino, and glue zones clear; no end splice.</x:v>
      </x:c>
    </x:row>
    <x:row r="19" ht="54" customHeight="1">
      <x:c r="A19" s="83" t="str">
        <x:v>STOCK-J</x:v>
      </x:c>
      <x:c r="B19" s="83" t="n">
        <x:v>1</x:v>
      </x:c>
      <x:c r="C19" s="83" t="str">
        <x:v>J-01</x:v>
      </x:c>
      <x:c r="D19" s="83" t="str">
        <x:v>D-101C/M-CORE + D-101F 6-1/2-inch wide core stave</x:v>
      </x:c>
      <x:c r="E19" s="83" t="n">
        <x:v>3</x:v>
      </x:c>
      <x:c r="F19" s="84" t="n">
        <x:v>16.25</x:v>
      </x:c>
      <x:c r="G19" s="84" t="n">
        <x:v>3</x:v>
      </x:c>
      <x:c r="H19" s="84" t="n">
        <x:v>0.125</x:v>
      </x:c>
      <x:c r="I19" s="84" t="n">
        <x:f>E19*F19+G19*H19</x:f>
        <x:v>49.125</x:v>
      </x:c>
      <x:c r="J19" s="84" t="n">
        <x:v>2</x:v>
      </x:c>
      <x:c r="K19" s="84" t="n">
        <x:f>I19+J19</x:f>
        <x:v>51.125</x:v>
      </x:c>
      <x:c r="L19" s="83" t="str">
        <x:v>Under revised CM-05, J must prove one clear 6-1/2-inch width. Cut 3 x 16-1/4 mother billets; plane to 7/8; rip C/M at 4-1/4 and the F wide stave at 6-1/2. Save usable offcuts for FP-05.</x:v>
      </x:c>
      <x:c r="M19" s="83" t="str">
        <x:v>One-piece C/M cores plus the continuous 6-1/2-inch F core stave, all 7/8 x 16-1/4; traceable offcuts</x:v>
      </x:c>
      <x:c r="N19" s="156" t="str">
        <x:v>HOLD - SIGNED CORE/OFFCUT MAP</x:v>
      </x:c>
      <x:c r="O19" s="83" t="str">
        <x:v>J-01 and J-02 share STOCK-J's single 2-inch board-end reserve.</x:v>
      </x:c>
    </x:row>
    <x:row r="20" ht="54" customHeight="1">
      <x:c r="A20" s="83" t="str">
        <x:v>STOCK-J</x:v>
      </x:c>
      <x:c r="B20" s="83" t="n">
        <x:v>2</x:v>
      </x:c>
      <x:c r="C20" s="83" t="str">
        <x:v>J-02</x:v>
      </x:c>
      <x:c r="D20" s="83" t="str">
        <x:v>D-101G-CORE</x:v>
      </x:c>
      <x:c r="E20" s="83" t="n">
        <x:v>1</x:v>
      </x:c>
      <x:c r="F20" s="84" t="n">
        <x:v>12</x:v>
      </x:c>
      <x:c r="G20" s="84" t="n">
        <x:v>1</x:v>
      </x:c>
      <x:c r="H20" s="84" t="n">
        <x:v>0.125</x:v>
      </x:c>
      <x:c r="I20" s="84" t="n">
        <x:f>E20*F20+G20*H20</x:f>
        <x:v>12.125</x:v>
      </x:c>
      <x:c r="J20" s="84" t="n">
        <x:v>0</x:v>
      </x:c>
      <x:c r="K20" s="84" t="n">
        <x:f>I20+J20</x:f>
        <x:v>12.125</x:v>
      </x:c>
      <x:c r="L20" s="83" t="str">
        <x:v>From the signed fourth clear envelope, plane the mother billet to 7/8 and width-rip the muntin core at 3-1/4 inches; retain the longitudinal width offcut for FP-05.</x:v>
      </x:c>
      <x:c r="M20" s="83" t="str">
        <x:v>One continuous 7/8 x 3-1/4 x 12 muntin core plus a traceable face-pool width offcut</x:v>
      </x:c>
      <x:c r="N20" s="156" t="str">
        <x:v>HOLD - SIGNED CORE/OFFCUT MAP</x:v>
      </x:c>
      <x:c r="O20" s="83" t="str">
        <x:v>The complete J pattern uses 60-3/4 inches of billets, four 1/8-inch kerfs, and one shared 2-inch reserve, leaving 16 inches on paper.</x:v>
      </x:c>
    </x:row>
    <x:row r="21" ht="54" customHeight="1">
      <x:c r="A21" s="83" t="str">
        <x:v>STOCK-K</x:v>
      </x:c>
      <x:c r="B21" s="83" t="n">
        <x:v>1</x:v>
      </x:c>
      <x:c r="C21" s="83" t="str">
        <x:v>K-01</x:v>
      </x:c>
      <x:c r="D21" s="83" t="str">
        <x:v>D-101A-CORE and D-101A-BF parallel continuous lanes</x:v>
      </x:c>
      <x:c r="E21" s="83" t="n">
        <x:v>1</x:v>
      </x:c>
      <x:c r="F21" s="84" t="n">
        <x:v>81.125</x:v>
      </x:c>
      <x:c r="G21" s="84" t="n">
        <x:v>1</x:v>
      </x:c>
      <x:c r="H21" s="84" t="n">
        <x:v>0.125</x:v>
      </x:c>
      <x:c r="I21" s="84" t="n">
        <x:f>E21*F21+G21*H21</x:f>
        <x:v>81.25</x:v>
      </x:c>
      <x:c r="J21" s="84" t="n">
        <x:v>1.25</x:v>
      </x:c>
      <x:c r="K21" s="84" t="n">
        <x:f>I21+J21</x:f>
        <x:v>82.5</x:v>
      </x:c>
      <x:c r="L21" s="83" t="str">
        <x:v>Preserve full length; flatten and joint to at least 8-7/8 inches clear, then make one ordinary full-length width rip yielding two 4-3/8-inch lanes and one 1/8-inch kerf. Plane one lane to a 7/8-inch core and the other, in staged carrier-supported passes, to a 5/16-inch back face.</x:v>
      </x:c>
      <x:c r="M21" s="83" t="str">
        <x:v>One continuous 7/8 x 4-3/8 x 81 core and one continuous 5/16 x 4-3/8 x 81-1/8 back face</x:v>
      </x:c>
      <x:c r="N21" s="156" t="str">
        <x:v>STOP - LENGTH-CRITICAL TWO-LANE YIELD</x:v>
      </x:c>
      <x:c r="O21" s="83" t="str">
        <x:v>The 8-7/8-inch gate is exact. Only 1-3/8 inches of raw length exceed the face target; one 1/8-inch crosscut leaves 1-1/4 inches for both squared ends. No end splice.</x:v>
      </x:c>
    </x:row>
    <x:row r="22" ht="54" customHeight="1">
      <x:c r="A22" s="83" t="str">
        <x:v>STOCK-L</x:v>
      </x:c>
      <x:c r="B22" s="83" t="n">
        <x:v>1</x:v>
      </x:c>
      <x:c r="C22" s="83" t="str">
        <x:v>L-01</x:v>
      </x:c>
      <x:c r="D22" s="83" t="str">
        <x:v>D-101E-CORE + both D-101D core staves + D-101F 5-3/4-inch stave</x:v>
      </x:c>
      <x:c r="E22" s="83" t="n">
        <x:v>4</x:v>
      </x:c>
      <x:c r="F22" s="84" t="n">
        <x:v>16.25</x:v>
      </x:c>
      <x:c r="G22" s="84" t="n">
        <x:v>4</x:v>
      </x:c>
      <x:c r="H22" s="84" t="n">
        <x:v>0.125</x:v>
      </x:c>
      <x:c r="I22" s="84" t="n">
        <x:f>E22*F22+G22*H22</x:f>
        <x:v>65.5</x:v>
      </x:c>
      <x:c r="J22" s="84" t="n">
        <x:v>2</x:v>
      </x:c>
      <x:c r="K22" s="84" t="n">
        <x:f>I22+J22</x:f>
        <x:v>67.5</x:v>
      </x:c>
      <x:c r="L22" s="83" t="str">
        <x:v>Under revised CM-05, cut 4 x 16-1/4; plane to 7/8; rip E at 4-1/4, D staves at 5 and 2-1/4, and F top at 5-3/4. L = 6 inches; no 6-1/2 billet. Save usable offcuts for FP-05.</x:v>
      </x:c>
      <x:c r="M22" s="83" t="str">
        <x:v>One-piece E core, both D core staves, the 5-3/4-inch F core stave, and traceable offcuts</x:v>
      </x:c>
      <x:c r="N22" s="156" t="str">
        <x:v>HOLD - SIGNED CORE/OFFCUT MAP</x:v>
      </x:c>
      <x:c r="O22" s="83" t="str">
        <x:v>The complete L pattern uses 65 inches of billets, four 1/8-inch kerfs, and one shared 2-inch reserve, leaving 12-1/2 inches on paper.</x:v>
      </x:c>
    </x:row>
    <x:row r="25" ht="20" customHeight="1">
      <x:c r="A25" s="71" t="str">
        <x:v>Board-length reconciliation</x:v>
      </x:c>
      <x:c r="B25" s="72" t="str">
        <x:v>Board-length reconciliation</x:v>
      </x:c>
      <x:c r="C25" s="72" t="str">
        <x:v>Board-length reconciliation</x:v>
      </x:c>
      <x:c r="D25" s="72" t="str">
        <x:v>Board-length reconciliation</x:v>
      </x:c>
      <x:c r="E25" s="72" t="str">
        <x:v>Board-length reconciliation</x:v>
      </x:c>
      <x:c r="F25" s="72" t="str">
        <x:v>Board-length reconciliation</x:v>
      </x:c>
      <x:c r="G25" s="73" t="str">
        <x:v>Board-length reconciliation</x:v>
      </x:c>
    </x:row>
    <x:row r="26">
      <x:c r="A26" s="188" t="str">
        <x:v>Stock</x:v>
      </x:c>
      <x:c r="B26" s="188" t="str">
        <x:v>Available L</x:v>
      </x:c>
      <x:c r="C26" s="188" t="str">
        <x:v>Cuts + kerfs</x:v>
      </x:c>
      <x:c r="D26" s="188" t="str">
        <x:v>End reserves</x:v>
      </x:c>
      <x:c r="E26" s="188" t="str">
        <x:v>Paper remainder</x:v>
      </x:c>
      <x:c r="F26" s="188" t="str">
        <x:v>Paper status</x:v>
      </x:c>
      <x:c r="G26" s="188" t="str">
        <x:v>Physical release</x:v>
      </x:c>
    </x:row>
    <x:row r="27">
      <x:c r="A27" s="83" t="str">
        <x:v>STOCK-B</x:v>
      </x:c>
      <x:c r="B27" s="84" t="n">
        <x:v>85</x:v>
      </x:c>
      <x:c r="C27" s="84" t="n">
        <x:v>81.25</x:v>
      </x:c>
      <x:c r="D27" s="84" t="n">
        <x:v>3.75</x:v>
      </x:c>
      <x:c r="E27" s="84" t="n">
        <x:v>0</x:v>
      </x:c>
      <x:c r="F27" s="83" t="str">
        <x:v>PAPER FIT ONLY</x:v>
      </x:c>
      <x:c r="G27" s="156" t="str">
        <x:v>HOLD</x:v>
      </x:c>
    </x:row>
    <x:row r="28">
      <x:c r="A28" s="83" t="str">
        <x:v>STOCK-C</x:v>
      </x:c>
      <x:c r="B28" s="84" t="n">
        <x:v>83.125</x:v>
      </x:c>
      <x:c r="C28" s="84" t="n">
        <x:v>81.25</x:v>
      </x:c>
      <x:c r="D28" s="84" t="n">
        <x:v>1.875</x:v>
      </x:c>
      <x:c r="E28" s="84" t="n">
        <x:v>0</x:v>
      </x:c>
      <x:c r="F28" s="83" t="str">
        <x:v>PAPER FIT ONLY</x:v>
      </x:c>
      <x:c r="G28" s="156" t="str">
        <x:v>HOLD</x:v>
      </x:c>
    </x:row>
    <x:row r="29">
      <x:c r="A29" s="83" t="str">
        <x:v>STOCK-D</x:v>
      </x:c>
      <x:c r="B29" s="84" t="n">
        <x:v>73.75</x:v>
      </x:c>
      <x:c r="C29" s="84" t="n">
        <x:v>66.125</x:v>
      </x:c>
      <x:c r="D29" s="84" t="n">
        <x:v>2</x:v>
      </x:c>
      <x:c r="E29" s="84" t="n">
        <x:v>5.625</x:v>
      </x:c>
      <x:c r="F29" s="83" t="str">
        <x:v>PAPER FIT ONLY</x:v>
      </x:c>
      <x:c r="G29" s="156" t="str">
        <x:v>HOLD</x:v>
      </x:c>
    </x:row>
    <x:row r="30">
      <x:c r="A30" s="83" t="str">
        <x:v>STOCK-E</x:v>
      </x:c>
      <x:c r="B30" s="84" t="n">
        <x:v>75.5</x:v>
      </x:c>
      <x:c r="C30" s="84" t="n">
        <x:v>49.125</x:v>
      </x:c>
      <x:c r="D30" s="84" t="n">
        <x:v>2</x:v>
      </x:c>
      <x:c r="E30" s="84" t="n">
        <x:v>24.375</x:v>
      </x:c>
      <x:c r="F30" s="83" t="str">
        <x:v>PAPER FIT ONLY</x:v>
      </x:c>
      <x:c r="G30" s="156" t="str">
        <x:v>HOLD</x:v>
      </x:c>
    </x:row>
    <x:row r="31">
      <x:c r="A31" s="83" t="str">
        <x:v>STOCK-F</x:v>
      </x:c>
      <x:c r="B31" s="84" t="n">
        <x:v>70.75</x:v>
      </x:c>
      <x:c r="C31" s="84" t="n">
        <x:v>32.75</x:v>
      </x:c>
      <x:c r="D31" s="84" t="n">
        <x:v>2</x:v>
      </x:c>
      <x:c r="E31" s="84" t="n">
        <x:v>36</x:v>
      </x:c>
      <x:c r="F31" s="83" t="str">
        <x:v>PAPER FIT ONLY</x:v>
      </x:c>
      <x:c r="G31" s="156" t="str">
        <x:v>HOLD</x:v>
      </x:c>
    </x:row>
    <x:row r="32">
      <x:c r="A32" s="83" t="str">
        <x:v>STOCK-G</x:v>
      </x:c>
      <x:c r="B32" s="84" t="n">
        <x:v>75</x:v>
      </x:c>
      <x:c r="C32" s="84" t="n">
        <x:v>64.75</x:v>
      </x:c>
      <x:c r="D32" s="84" t="n">
        <x:v>2</x:v>
      </x:c>
      <x:c r="E32" s="84" t="n">
        <x:v>8.25</x:v>
      </x:c>
      <x:c r="F32" s="83" t="str">
        <x:v>PAPER FIT ONLY</x:v>
      </x:c>
      <x:c r="G32" s="156" t="str">
        <x:v>HOLD</x:v>
      </x:c>
    </x:row>
    <x:row r="33">
      <x:c r="A33" s="83" t="str">
        <x:v>STOCK-H</x:v>
      </x:c>
      <x:c r="B33" s="84" t="n">
        <x:v>79</x:v>
      </x:c>
      <x:c r="C33" s="84" t="n">
        <x:v>65.5625</x:v>
      </x:c>
      <x:c r="D33" s="84" t="n">
        <x:v>2</x:v>
      </x:c>
      <x:c r="E33" s="84" t="n">
        <x:v>11.4375</x:v>
      </x:c>
      <x:c r="F33" s="83" t="str">
        <x:v>PAPER FIT ONLY</x:v>
      </x:c>
      <x:c r="G33" s="156" t="str">
        <x:v>HOLD</x:v>
      </x:c>
    </x:row>
    <x:row r="34">
      <x:c r="A34" s="83" t="str">
        <x:v>STOCK-I</x:v>
      </x:c>
      <x:c r="B34" s="84" t="n">
        <x:v>84.75</x:v>
      </x:c>
      <x:c r="C34" s="84" t="n">
        <x:v>81.25</x:v>
      </x:c>
      <x:c r="D34" s="84" t="n">
        <x:v>3.5</x:v>
      </x:c>
      <x:c r="E34" s="84" t="n">
        <x:v>0</x:v>
      </x:c>
      <x:c r="F34" s="83" t="str">
        <x:v>PAPER FIT ONLY</x:v>
      </x:c>
      <x:c r="G34" s="156" t="str">
        <x:v>HOLD</x:v>
      </x:c>
    </x:row>
    <x:row r="35">
      <x:c r="A35" s="83" t="str">
        <x:v>STOCK-J</x:v>
      </x:c>
      <x:c r="B35" s="84" t="n">
        <x:v>79.25</x:v>
      </x:c>
      <x:c r="C35" s="84" t="n">
        <x:v>61.25</x:v>
      </x:c>
      <x:c r="D35" s="84" t="n">
        <x:v>2</x:v>
      </x:c>
      <x:c r="E35" s="84" t="n">
        <x:v>16</x:v>
      </x:c>
      <x:c r="F35" s="83" t="str">
        <x:v>PAPER FIT ONLY</x:v>
      </x:c>
      <x:c r="G35" s="156" t="str">
        <x:v>HOLD</x:v>
      </x:c>
    </x:row>
    <x:row r="36">
      <x:c r="A36" s="83" t="str">
        <x:v>STOCK-K</x:v>
      </x:c>
      <x:c r="B36" s="84" t="n">
        <x:v>82.5</x:v>
      </x:c>
      <x:c r="C36" s="84" t="n">
        <x:v>81.25</x:v>
      </x:c>
      <x:c r="D36" s="84" t="n">
        <x:v>1.25</x:v>
      </x:c>
      <x:c r="E36" s="84" t="n">
        <x:v>0</x:v>
      </x:c>
      <x:c r="F36" s="83" t="str">
        <x:v>PAPER FIT ONLY</x:v>
      </x:c>
      <x:c r="G36" s="156" t="str">
        <x:v>HOLD</x:v>
      </x:c>
    </x:row>
    <x:row r="37">
      <x:c r="A37" s="83" t="str">
        <x:v>STOCK-L</x:v>
      </x:c>
      <x:c r="B37" s="84" t="n">
        <x:v>80</x:v>
      </x:c>
      <x:c r="C37" s="84" t="n">
        <x:v>65.5</x:v>
      </x:c>
      <x:c r="D37" s="84" t="n">
        <x:v>2</x:v>
      </x:c>
      <x:c r="E37" s="84" t="n">
        <x:v>12.5</x:v>
      </x:c>
      <x:c r="F37" s="83" t="str">
        <x:v>PAPER FIT ONLY</x:v>
      </x:c>
      <x:c r="G37" s="156" t="str">
        <x:v>HOLD</x:v>
      </x:c>
    </x:row>
    <x:row r="38">
      <x:c r="A38" s="83" t="str">
        <x:v>STOCK-M</x:v>
      </x:c>
      <x:c r="B38" s="84" t="n">
        <x:v>99</x:v>
      </x:c>
      <x:c r="C38" s="84" t="n">
        <x:v>79.8125</x:v>
      </x:c>
      <x:c r="D38" s="84" t="n">
        <x:v>2</x:v>
      </x:c>
      <x:c r="E38" s="84" t="n">
        <x:v>17.1875</x:v>
      </x:c>
      <x:c r="F38" s="83" t="str">
        <x:v>PAPER FIT ONLY</x:v>
      </x:c>
      <x:c r="G38" s="156" t="str">
        <x:v>HOLD</x:v>
      </x:c>
    </x:row>
    <x:row r="41" ht="20" customHeight="1">
      <x:c r="A41" s="71" t="str">
        <x:v>Balanced laminated-member schedule</x:v>
      </x:c>
      <x:c r="B41" s="72" t="str">
        <x:v>Balanced laminated-member schedule</x:v>
      </x:c>
      <x:c r="C41" s="72" t="str">
        <x:v>Balanced laminated-member schedule</x:v>
      </x:c>
      <x:c r="D41" s="72" t="str">
        <x:v>Balanced laminated-member schedule</x:v>
      </x:c>
      <x:c r="E41" s="72" t="str">
        <x:v>Balanced laminated-member schedule</x:v>
      </x:c>
      <x:c r="F41" s="72" t="str">
        <x:v>Balanced laminated-member schedule</x:v>
      </x:c>
      <x:c r="G41" s="72" t="str">
        <x:v>Balanced laminated-member schedule</x:v>
      </x:c>
      <x:c r="H41" s="72" t="str">
        <x:v>Balanced laminated-member schedule</x:v>
      </x:c>
      <x:c r="I41" s="72" t="str">
        <x:v>Balanced laminated-member schedule</x:v>
      </x:c>
      <x:c r="J41" s="72" t="str">
        <x:v>Balanced laminated-member schedule</x:v>
      </x:c>
      <x:c r="K41" s="72" t="str">
        <x:v>Balanced laminated-member schedule</x:v>
      </x:c>
      <x:c r="L41" s="72" t="str">
        <x:v>Balanced laminated-member schedule</x:v>
      </x:c>
      <x:c r="M41" s="72" t="str">
        <x:v>Balanced laminated-member schedule</x:v>
      </x:c>
      <x:c r="N41" s="72" t="str">
        <x:v>Balanced laminated-member schedule</x:v>
      </x:c>
      <x:c r="O41" s="73" t="str">
        <x:v>Balanced laminated-member schedule</x:v>
      </x:c>
    </x:row>
    <x:row r="42">
      <x:c r="A42" s="79" t="str">
        <x:v>Part</x:v>
      </x:c>
      <x:c r="B42" s="79" t="str">
        <x:v>Name</x:v>
      </x:c>
      <x:c r="C42" s="79"/>
      <x:c r="D42" s="79" t="str">
        <x:v>Core stock</x:v>
      </x:c>
      <x:c r="E42" s="79"/>
      <x:c r="F42" s="79" t="str">
        <x:v>Show-face stock</x:v>
      </x:c>
      <x:c r="G42" s="79"/>
      <x:c r="H42" s="79" t="str">
        <x:v>Back-face stock</x:v>
      </x:c>
      <x:c r="I42" s="79"/>
      <x:c r="J42" s="79" t="str">
        <x:v>Core blank</x:v>
      </x:c>
      <x:c r="K42" s="79"/>
      <x:c r="L42" s="79" t="str">
        <x:v>Face blanks</x:v>
      </x:c>
      <x:c r="M42" s="79"/>
      <x:c r="N42" s="79" t="str">
        <x:v>Seam control</x:v>
      </x:c>
      <x:c r="O42" s="79"/>
    </x:row>
    <x:row r="43" ht="48" customHeight="1">
      <x:c r="A43" s="83" t="str">
        <x:v>D-101A</x:v>
      </x:c>
      <x:c r="B43" s="83" t="str">
        <x:v>Hinge stile</x:v>
      </x:c>
      <x:c r="C43" s="83"/>
      <x:c r="D43" s="83" t="str">
        <x:v>K</x:v>
      </x:c>
      <x:c r="E43" s="83"/>
      <x:c r="F43" s="83" t="str">
        <x:v>B</x:v>
      </x:c>
      <x:c r="G43" s="83"/>
      <x:c r="H43" s="83" t="str">
        <x:v>K parallel lane</x:v>
      </x:c>
      <x:c r="I43" s="83"/>
      <x:c r="J43" s="83" t="str">
        <x:v>7/8 x 4-3/8 x 81</x:v>
      </x:c>
      <x:c r="K43" s="83"/>
      <x:c r="L43" s="83" t="str">
        <x:v>B show face and K parallel-lane back face, each 5/16 x 4-3/8 x 81-1/8</x:v>
      </x:c>
      <x:c r="M43" s="83"/>
      <x:c r="N43" s="83" t="str">
        <x:v>one-piece core and continuous faces; no end or edge seam</x:v>
      </x:c>
      <x:c r="O43" s="83"/>
    </x:row>
    <x:row r="44" ht="48" customHeight="1">
      <x:c r="A44" s="83" t="str">
        <x:v>D-101B</x:v>
      </x:c>
      <x:c r="B44" s="83" t="str">
        <x:v>Lock stile</x:v>
      </x:c>
      <x:c r="C44" s="83"/>
      <x:c r="D44" s="83" t="str">
        <x:v>I</x:v>
      </x:c>
      <x:c r="E44" s="83"/>
      <x:c r="F44" s="83" t="str">
        <x:v>C</x:v>
      </x:c>
      <x:c r="G44" s="83"/>
      <x:c r="H44" s="83" t="str">
        <x:v>I parallel lane</x:v>
      </x:c>
      <x:c r="I44" s="83"/>
      <x:c r="J44" s="83" t="str">
        <x:v>7/8 x 4-3/8 x 81</x:v>
      </x:c>
      <x:c r="K44" s="83"/>
      <x:c r="L44" s="83" t="str">
        <x:v>C show face and I parallel-lane back face, each 5/16 x 4-3/8 x 81-1/8</x:v>
      </x:c>
      <x:c r="M44" s="83"/>
      <x:c r="N44" s="83" t="str">
        <x:v>one-piece core and continuous faces; no end or edge seam</x:v>
      </x:c>
      <x:c r="O44" s="83"/>
    </x:row>
    <x:row r="45" ht="48" customHeight="1">
      <x:c r="A45" s="83" t="str">
        <x:v>D-101C</x:v>
      </x:c>
      <x:c r="B45" s="83" t="str">
        <x:v>Top rail</x:v>
      </x:c>
      <x:c r="C45" s="83"/>
      <x:c r="D45" s="83" t="str">
        <x:v>J-C-CORE</x:v>
      </x:c>
      <x:c r="E45" s="83"/>
      <x:c r="F45" s="83" t="str">
        <x:v>signed FP-05</x:v>
      </x:c>
      <x:c r="G45" s="83"/>
      <x:c r="H45" s="83" t="str">
        <x:v>signed FP-05</x:v>
      </x:c>
      <x:c r="I45" s="83"/>
      <x:c r="J45" s="83" t="str">
        <x:v>7/8 x 4-1/4 x 16-1/4</x:v>
      </x:c>
      <x:c r="K45" s="83"/>
      <x:c r="L45" s="83" t="str">
        <x:v>two total, each 5/16 x 4-1/4 x 16-1/4</x:v>
      </x:c>
      <x:c r="M45" s="83"/>
      <x:c r="N45" s="83" t="str">
        <x:v>one-piece core and one-piece-width faces</x:v>
      </x:c>
      <x:c r="O45" s="83"/>
    </x:row>
    <x:row r="46" ht="48" customHeight="1">
      <x:c r="A46" s="83" t="str">
        <x:v>D-101M</x:v>
      </x:c>
      <x:c r="B46" s="83" t="str">
        <x:v>Upper intermediate rail</x:v>
      </x:c>
      <x:c r="C46" s="83"/>
      <x:c r="D46" s="83" t="str">
        <x:v>J-M-CORE</x:v>
      </x:c>
      <x:c r="E46" s="83"/>
      <x:c r="F46" s="83" t="str">
        <x:v>signed FP-05</x:v>
      </x:c>
      <x:c r="G46" s="83"/>
      <x:c r="H46" s="83" t="str">
        <x:v>signed FP-05</x:v>
      </x:c>
      <x:c r="I46" s="83"/>
      <x:c r="J46" s="83" t="str">
        <x:v>7/8 x 4-1/4 x 16-1/4</x:v>
      </x:c>
      <x:c r="K46" s="83"/>
      <x:c r="L46" s="83" t="str">
        <x:v>two total, each 5/16 x 4-1/4 x 16-1/4</x:v>
      </x:c>
      <x:c r="M46" s="83"/>
      <x:c r="N46" s="83" t="str">
        <x:v>one-piece core and one-piece-width faces</x:v>
      </x:c>
      <x:c r="O46" s="83"/>
    </x:row>
    <x:row r="47" ht="48" customHeight="1">
      <x:c r="A47" s="83" t="str">
        <x:v>D-101D</x:v>
      </x:c>
      <x:c r="B47" s="83" t="str">
        <x:v>Lock rail</x:v>
      </x:c>
      <x:c r="C47" s="83"/>
      <x:c r="D47" s="83" t="str">
        <x:v>L-DW-CORE + L-DN-CORE</x:v>
      </x:c>
      <x:c r="E47" s="83"/>
      <x:c r="F47" s="83" t="str">
        <x:v>signed FP-05</x:v>
      </x:c>
      <x:c r="G47" s="83"/>
      <x:c r="H47" s="83" t="str">
        <x:v>signed FP-05</x:v>
      </x:c>
      <x:c r="I47" s="83"/>
      <x:c r="J47" s="83" t="str">
        <x:v>7/8 x 7-1/4 x 16-1/4</x:v>
      </x:c>
      <x:c r="K47" s="83"/>
      <x:c r="L47" s="83" t="str">
        <x:v>two total, each 5/16 x 7-1/4 x 16-1/4</x:v>
      </x:c>
      <x:c r="M47" s="83"/>
      <x:c r="N47" s="83" t="str">
        <x:v>core 2-1/4 from finished top; show face 4-3/8; back face 4-7/8; all +/-1/32</x:v>
      </x:c>
      <x:c r="O47" s="83"/>
    </x:row>
    <x:row r="48" ht="48" customHeight="1">
      <x:c r="A48" s="83" t="str">
        <x:v>D-101E</x:v>
      </x:c>
      <x:c r="B48" s="83" t="str">
        <x:v>Lower intermediate rail</x:v>
      </x:c>
      <x:c r="C48" s="83"/>
      <x:c r="D48" s="83" t="str">
        <x:v>L-E-CORE</x:v>
      </x:c>
      <x:c r="E48" s="83"/>
      <x:c r="F48" s="83" t="str">
        <x:v>signed FP-05</x:v>
      </x:c>
      <x:c r="G48" s="83"/>
      <x:c r="H48" s="83" t="str">
        <x:v>signed FP-05</x:v>
      </x:c>
      <x:c r="I48" s="83"/>
      <x:c r="J48" s="83" t="str">
        <x:v>7/8 x 4-1/4 x 16-1/4</x:v>
      </x:c>
      <x:c r="K48" s="83"/>
      <x:c r="L48" s="83" t="str">
        <x:v>two total, each 5/16 x 4-1/4 x 16-1/4</x:v>
      </x:c>
      <x:c r="M48" s="83"/>
      <x:c r="N48" s="83" t="str">
        <x:v>one-piece core and one-piece-width faces</x:v>
      </x:c>
      <x:c r="O48" s="83"/>
    </x:row>
    <x:row r="49" ht="48" customHeight="1">
      <x:c r="A49" s="83" t="str">
        <x:v>D-101F</x:v>
      </x:c>
      <x:c r="B49" s="83" t="str">
        <x:v>Bottom rail</x:v>
      </x:c>
      <x:c r="C49" s="83"/>
      <x:c r="D49" s="83" t="str">
        <x:v>L-F1-CORE + J-F2-CORE</x:v>
      </x:c>
      <x:c r="E49" s="83"/>
      <x:c r="F49" s="83" t="str">
        <x:v>signed FP-05</x:v>
      </x:c>
      <x:c r="G49" s="83"/>
      <x:c r="H49" s="83" t="str">
        <x:v>signed FP-05</x:v>
      </x:c>
      <x:c r="I49" s="83"/>
      <x:c r="J49" s="83" t="str">
        <x:v>7/8 x 12-1/4 x 16-1/4</x:v>
      </x:c>
      <x:c r="K49" s="83"/>
      <x:c r="L49" s="83" t="str">
        <x:v>two total, each 5/16 x 12-1/4 x 16-1/4</x:v>
      </x:c>
      <x:c r="M49" s="83"/>
      <x:c r="N49" s="83" t="str">
        <x:v>core 5-3/4; show face 3, 6-1/2, and 9-1/2; back face 2-1/2, 5, and 9; all from finished top and all +/-1/32</x:v>
      </x:c>
      <x:c r="O49" s="83"/>
    </x:row>
    <x:row r="50" ht="48" customHeight="1">
      <x:c r="A50" s="83" t="str">
        <x:v>D-101G</x:v>
      </x:c>
      <x:c r="B50" s="83" t="str">
        <x:v>Center muntin</x:v>
      </x:c>
      <x:c r="C50" s="83"/>
      <x:c r="D50" s="83" t="str">
        <x:v>J-G-CORE</x:v>
      </x:c>
      <x:c r="E50" s="83"/>
      <x:c r="F50" s="83" t="str">
        <x:v>signed FP-05</x:v>
      </x:c>
      <x:c r="G50" s="83"/>
      <x:c r="H50" s="83" t="str">
        <x:v>signed FP-05</x:v>
      </x:c>
      <x:c r="I50" s="83"/>
      <x:c r="J50" s="83" t="str">
        <x:v>7/8 x 3-1/4 x 12</x:v>
      </x:c>
      <x:c r="K50" s="83"/>
      <x:c r="L50" s="83" t="str">
        <x:v>two total, each 5/16 x 3-1/4 x 12</x:v>
      </x:c>
      <x:c r="M50" s="83"/>
      <x:c r="N50" s="83" t="str">
        <x:v>one-piece core and one-piece-width faces</x:v>
      </x:c>
      <x:c r="O50" s="83"/>
    </x:row>
  </x:sheetData>
  <x:mergeCells>
    <x:mergeCell ref="A1:O2"/>
    <x:mergeCell ref="A3:O4"/>
    <x:mergeCell ref="A25:G25"/>
    <x:mergeCell ref="A41:O41"/>
    <x:mergeCell ref="B42:C42"/>
    <x:mergeCell ref="D42:E42"/>
    <x:mergeCell ref="F42:G42"/>
    <x:mergeCell ref="H42:I42"/>
    <x:mergeCell ref="J42:K42"/>
    <x:mergeCell ref="L42:M42"/>
    <x:mergeCell ref="N42:O42"/>
    <x:mergeCell ref="B43:C43"/>
    <x:mergeCell ref="D43:E43"/>
    <x:mergeCell ref="F43:G43"/>
    <x:mergeCell ref="H43:I43"/>
    <x:mergeCell ref="J43:K43"/>
    <x:mergeCell ref="L43:M43"/>
    <x:mergeCell ref="N43:O43"/>
    <x:mergeCell ref="B44:C44"/>
    <x:mergeCell ref="D44:E44"/>
    <x:mergeCell ref="F44:G44"/>
    <x:mergeCell ref="H44:I44"/>
    <x:mergeCell ref="J44:K44"/>
    <x:mergeCell ref="L44:M44"/>
    <x:mergeCell ref="N44:O44"/>
    <x:mergeCell ref="B45:C45"/>
    <x:mergeCell ref="D45:E45"/>
    <x:mergeCell ref="F45:G45"/>
    <x:mergeCell ref="H45:I45"/>
    <x:mergeCell ref="J45:K45"/>
    <x:mergeCell ref="L45:M45"/>
    <x:mergeCell ref="N45:O45"/>
    <x:mergeCell ref="B46:C46"/>
    <x:mergeCell ref="D46:E46"/>
    <x:mergeCell ref="F46:G46"/>
    <x:mergeCell ref="H46:I46"/>
    <x:mergeCell ref="J46:K46"/>
    <x:mergeCell ref="L46:M46"/>
    <x:mergeCell ref="N46:O46"/>
    <x:mergeCell ref="B47:C47"/>
    <x:mergeCell ref="D47:E47"/>
    <x:mergeCell ref="F47:G47"/>
    <x:mergeCell ref="H47:I47"/>
    <x:mergeCell ref="J47:K47"/>
    <x:mergeCell ref="L47:M47"/>
    <x:mergeCell ref="N47:O47"/>
    <x:mergeCell ref="B48:C48"/>
    <x:mergeCell ref="D48:E48"/>
    <x:mergeCell ref="F48:G48"/>
    <x:mergeCell ref="H48:I48"/>
    <x:mergeCell ref="J48:K48"/>
    <x:mergeCell ref="L48:M48"/>
    <x:mergeCell ref="N48:O48"/>
    <x:mergeCell ref="B49:C49"/>
    <x:mergeCell ref="D49:E49"/>
    <x:mergeCell ref="F49:G49"/>
    <x:mergeCell ref="H49:I49"/>
    <x:mergeCell ref="J49:K49"/>
    <x:mergeCell ref="L49:M49"/>
    <x:mergeCell ref="N49:O49"/>
    <x:mergeCell ref="B50:C50"/>
    <x:mergeCell ref="D50:E50"/>
    <x:mergeCell ref="F50:G50"/>
    <x:mergeCell ref="H50:I50"/>
    <x:mergeCell ref="J50:K50"/>
    <x:mergeCell ref="L50:M50"/>
    <x:mergeCell ref="N50:O50"/>
  </x:mergeCells>
  <x:pageMargins left="0.7" right="0.7" top="0.75" bottom="0.75" header="0.3" footer="0.3"/>
  <x:tableParts count="2">
    <x:tablePart xmlns:r="http://schemas.openxmlformats.org/officeDocument/2006/relationships" r:id="Rd21329e2e932410a"/>
    <x:tablePart xmlns:r="http://schemas.openxmlformats.org/officeDocument/2006/relationships" r:id="R6204bc31f67246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44" hidden="0" customWidth="1"/>
    <x:col min="4" max="4" width="48" hidden="0" customWidth="1"/>
    <x:col min="5" max="5" width="42" hidden="0" customWidth="1"/>
    <x:col min="6" max="6" width="29" hidden="0" customWidth="1"/>
    <x:col min="7" max="7" width="18" hidden="0" customWidth="1"/>
    <x:col min="8" max="8" width="18" hidden="0" customWidth="1"/>
  </x:cols>
  <x:sheetData>
    <x:row r="1" ht="28" customHeight="1">
      <x:c r="A1" s="21" t="str">
        <x:v>LS-05 Physical Release Checks</x:v>
      </x:c>
      <x:c r="B1" s="22" t="str">
        <x:v>LS-05 Physical Release Checks</x:v>
      </x:c>
      <x:c r="C1" s="22" t="str">
        <x:v>LS-05 Physical Release Checks</x:v>
      </x:c>
      <x:c r="D1" s="22" t="str">
        <x:v>LS-05 Physical Release Checks</x:v>
      </x:c>
      <x:c r="E1" s="22" t="str">
        <x:v>LS-05 Physical Release Checks</x:v>
      </x:c>
      <x:c r="F1" s="22" t="str">
        <x:v>LS-05 Physical Release Checks</x:v>
      </x:c>
      <x:c r="G1" s="22" t="str">
        <x:v>LS-05 Physical Release Checks</x:v>
      </x:c>
      <x:c r="H1" s="23" t="str">
        <x:v>LS-05 Physical Release Checks</x:v>
      </x:c>
    </x:row>
    <x:row r="2" ht="28" customHeight="1">
      <x:c r="A2" s="24" t="str">
        <x:v>LS-05 Physical Release Checks</x:v>
      </x:c>
      <x:c r="B2" s="25" t="str">
        <x:v>LS-05 Physical Release Checks</x:v>
      </x:c>
      <x:c r="C2" s="25" t="str">
        <x:v>LS-05 Physical Release Checks</x:v>
      </x:c>
      <x:c r="D2" s="25" t="str">
        <x:v>LS-05 Physical Release Checks</x:v>
      </x:c>
      <x:c r="E2" s="25" t="str">
        <x:v>LS-05 Physical Release Checks</x:v>
      </x:c>
      <x:c r="F2" s="25" t="str">
        <x:v>LS-05 Physical Release Checks</x:v>
      </x:c>
      <x:c r="G2" s="25" t="str">
        <x:v>LS-05 Physical Release Checks</x:v>
      </x:c>
      <x:c r="H2" s="26" t="str">
        <x:v>LS-05 Physical Release Checks</x:v>
      </x:c>
    </x:row>
    <x:row r="3">
      <x:c r="A3" s="47" t="str">
        <x:v>Every gate starts on HOLD. Approval must be based on measurements, a signed nesting or seam map, and destructive same-layup coupons—not the reported raw dimensions.</x:v>
      </x:c>
      <x:c r="B3" s="48" t="str">
        <x:v>Every gate starts on HOLD. Approval must be based on measurements, a signed nesting or seam map, and destructive same-layup coupons—not the reported raw dimensions.</x:v>
      </x:c>
      <x:c r="C3" s="48" t="str">
        <x:v>Every gate starts on HOLD. Approval must be based on measurements, a signed nesting or seam map, and destructive same-layup coupons—not the reported raw dimensions.</x:v>
      </x:c>
      <x:c r="D3" s="48" t="str">
        <x:v>Every gate starts on HOLD. Approval must be based on measurements, a signed nesting or seam map, and destructive same-layup coupons—not the reported raw dimensions.</x:v>
      </x:c>
      <x:c r="E3" s="48" t="str">
        <x:v>Every gate starts on HOLD. Approval must be based on measurements, a signed nesting or seam map, and destructive same-layup coupons—not the reported raw dimensions.</x:v>
      </x:c>
      <x:c r="F3" s="48" t="str">
        <x:v>Every gate starts on HOLD. Approval must be based on measurements, a signed nesting or seam map, and destructive same-layup coupons—not the reported raw dimensions.</x:v>
      </x:c>
      <x:c r="G3" s="48" t="str">
        <x:v>Every gate starts on HOLD. Approval must be based on measurements, a signed nesting or seam map, and destructive same-layup coupons—not the reported raw dimensions.</x:v>
      </x:c>
      <x:c r="H3" s="49" t="str">
        <x:v>Every gate starts on HOLD. Approval must be based on measurements, a signed nesting or seam map, and destructive same-layup coupons—not the reported raw dimensions.</x:v>
      </x:c>
    </x:row>
    <x:row r="4">
      <x:c r="A4" s="50" t="str">
        <x:v>Every gate starts on HOLD. Approval must be based on measurements, a signed nesting or seam map, and destructive same-layup coupons—not the reported raw dimensions.</x:v>
      </x:c>
      <x:c r="B4" s="51" t="str">
        <x:v>Every gate starts on HOLD. Approval must be based on measurements, a signed nesting or seam map, and destructive same-layup coupons—not the reported raw dimensions.</x:v>
      </x:c>
      <x:c r="C4" s="51" t="str">
        <x:v>Every gate starts on HOLD. Approval must be based on measurements, a signed nesting or seam map, and destructive same-layup coupons—not the reported raw dimensions.</x:v>
      </x:c>
      <x:c r="D4" s="51" t="str">
        <x:v>Every gate starts on HOLD. Approval must be based on measurements, a signed nesting or seam map, and destructive same-layup coupons—not the reported raw dimensions.</x:v>
      </x:c>
      <x:c r="E4" s="51" t="str">
        <x:v>Every gate starts on HOLD. Approval must be based on measurements, a signed nesting or seam map, and destructive same-layup coupons—not the reported raw dimensions.</x:v>
      </x:c>
      <x:c r="F4" s="51" t="str">
        <x:v>Every gate starts on HOLD. Approval must be based on measurements, a signed nesting or seam map, and destructive same-layup coupons—not the reported raw dimensions.</x:v>
      </x:c>
      <x:c r="G4" s="51" t="str">
        <x:v>Every gate starts on HOLD. Approval must be based on measurements, a signed nesting or seam map, and destructive same-layup coupons—not the reported raw dimensions.</x:v>
      </x:c>
      <x:c r="H4" s="52" t="str">
        <x:v>Every gate starts on HOLD. Approval must be based on measurements, a signed nesting or seam map, and destructive same-layup coupons—not the reported raw dimensions.</x:v>
      </x:c>
    </x:row>
    <x:row r="6">
      <x:c r="A6" s="79" t="str">
        <x:v>Gate</x:v>
      </x:c>
      <x:c r="B6" s="79" t="str">
        <x:v>Severity</x:v>
      </x:c>
      <x:c r="C6" s="79" t="str">
        <x:v>Check</x:v>
      </x:c>
      <x:c r="D6" s="79" t="str">
        <x:v>Pass condition</x:v>
      </x:c>
      <x:c r="E6" s="79" t="str">
        <x:v>Fallback</x:v>
      </x:c>
      <x:c r="F6" s="79" t="str">
        <x:v>Formula status</x:v>
      </x:c>
      <x:c r="G6" s="79" t="str">
        <x:v>Gate approval</x:v>
      </x:c>
      <x:c r="H6" s="79" t="str">
        <x:v>Initials / date</x:v>
      </x:c>
    </x:row>
    <x:row r="7" ht="82" customHeight="1">
      <x:c r="A7" s="83" t="str">
        <x:v>CHK-RS-01</x:v>
      </x:c>
      <x:c r="B7" s="83" t="str">
        <x:v>STOP</x:v>
      </x:c>
      <x:c r="C7" s="83" t="str">
        <x:v>Acclimate and map A-O at full usable length. For A, confirm the current 72-3/4-inch length and inspect the new end after the 6-inch damage removal. For M, verify the reported finished 3/4 x 8-1/4 x 99-inch envelope. For N/O, record moisture, grain, flatness, defects, and clear squared-end yield while preserving their confirmed finished-white-oak 1-3/4 x 11 x 74-inch envelopes. For every board record actual dimensions, straightness, moisture, grain, bow, cup, twist, checks, knots, pith, runout, and clear squared-end limits.</x:v>
      </x:c>
      <x:c r="D7" s="83" t="str">
        <x:v>Every proposed billet has a traceable clear envelope; A has a sound squared end and at least 72-3/4 inches of usable mapped reserve length; M has at least 5/8-inch recoverable thickness throughout three 16-1/16-inch panel billets and sufficient clear width for the signed three-stave map; N/O are positively identified and remain full at 74 inches unless a signed fallback map is released; and every lamination family is the same species at 6-9% moisture with layers within one percentage point.</x:v>
      </x:c>
      <x:c r="E7" s="83" t="str">
        <x:v>Reallocate only within A-O under a signed map. If M fails, remap D-101H to clear STOCK-A before purchasing panel stock. Use finished-white-oak N/O only for a documented short-member fallback; do not crosscut a long critical board to solve a short-part shortage.</x:v>
      </x:c>
      <x:c r="F7" s="190" t="str">
        <x:v>HOLD - SHOP APPROVAL REQUIRED</x:v>
      </x:c>
      <x:c r="G7" s="154" t="str"/>
      <x:c r="H7" s="83" t="str"/>
    </x:row>
    <x:row r="8" ht="82" customHeight="1">
      <x:c r="A8" s="83" t="str">
        <x:v>CHK-ST-01</x:v>
      </x:c>
      <x:c r="B8" s="83" t="str">
        <x:v>STOP</x:v>
      </x:c>
      <x:c r="C8" s="83" t="str">
        <x:v>Prove the whole-thickness staged plane/rest/carrier method on representative coupons, then prove STOCK-B and STOCK-C at full length.</x:v>
      </x:c>
      <x:c r="D8" s="83" t="str">
        <x:v>B yields the D-101A show face and C yields the D-101B show face, each continuous and glue-ready at 5/16 x 4-3/8 x 81-1/8 with no taper, end joint, defect, or unstable grain.</x:v>
      </x:c>
      <x:c r="E8" s="83" t="str">
        <x:v>Stop and obtain replacement continuous face stock. Do not shorten, end-splice, or veneer over a failed stile face.</x:v>
      </x:c>
      <x:c r="F8" s="190" t="str">
        <x:v>HOLD - SHOP APPROVAL REQUIRED</x:v>
      </x:c>
      <x:c r="G8" s="154" t="str"/>
      <x:c r="H8" s="83" t="str"/>
    </x:row>
    <x:row r="9" ht="82" customHeight="1">
      <x:c r="A9" s="83" t="str">
        <x:v>CHK-ST-02</x:v>
      </x:c>
      <x:c r="B9" s="83" t="str">
        <x:v>STOP</x:v>
      </x:c>
      <x:c r="C9" s="83" t="str">
        <x:v>Prove the two full-length stile lanes in STOCK-I and STOCK-K before making the single width rip.</x:v>
      </x:c>
      <x:c r="D9" s="83" t="str">
        <x:v>Each board has at least 8-7/8 inches of clear jointed width for two 4-3/8-inch lanes plus the 1/8-inch kerf; each yields one straight 7/8 x 4-3/8 x 81 core and one continuous 5/16 x 4-3/8 x 81-1/8 back face after staged planing and rest. K retains the hinge and screw zones; I retains the lock envelope.</x:v>
      </x:c>
      <x:c r="E9" s="83" t="str">
        <x:v>Stop and purchase only a replacement long layer for the failed stile. Reducing the 4-1/4-inch finished stile or joining any long layer end-to-end is not authorized.</x:v>
      </x:c>
      <x:c r="F9" s="190" t="str">
        <x:v>HOLD - SHOP APPROVAL REQUIRED</x:v>
      </x:c>
      <x:c r="G9" s="154" t="str"/>
      <x:c r="H9" s="83" t="str"/>
    </x:row>
    <x:row r="10" ht="82" customHeight="1">
      <x:c r="A10" s="83" t="str">
        <x:v>CHK-SM-01</x:v>
      </x:c>
      <x:c r="B10" s="83" t="str">
        <x:v>STOP</x:v>
      </x:c>
      <x:c r="C10" s="83" t="str">
        <x:v>Create and sign the revised CM-05 before cutting J or L. Because L is now 6 inches wide, J carries C, M, the 6-1/2-inch F stave, and G; L carries E, both D staves, and the 5-3/4-inch F stave.</x:v>
      </x:c>
      <x:c r="D10" s="83" t="str">
        <x:v>J yields three 16-1/4-inch core mother billets for C, M, and the 6-1/2-inch F stave plus one 12-inch G billet; J must retain at least one clear 6-1/2-inch jointed width envelope. L yields four 16-1/4-inch billets for E, the 5-inch and 2-1/4-inch D staves, and the 5-3/4-inch F stave from its current 6-inch width. Every core is 7/8 inch, clear, continuous in length, and traceable; usable width offcuts are retained for FP-05, whose source pool also requires at least five clear 16-1/4-inch mother billets combined from E/F.</x:v>
      </x:c>
      <x:c r="E10" s="83" t="str">
        <x:v>Rearrange only clear J/L envelopes under a revised signed map. If the core map fails, prefer a clear finished-white-oak STOCK-N or STOCK-O short-core remap; if that also fails, purchase only the failed core stock. Never consume a critical stile layer.</x:v>
      </x:c>
      <x:c r="F10" s="190" t="str">
        <x:v>HOLD - SHOP APPROVAL REQUIRED</x:v>
      </x:c>
      <x:c r="G10" s="154" t="str"/>
      <x:c r="H10" s="83" t="str"/>
    </x:row>
    <x:row r="11" ht="82" customHeight="1">
      <x:c r="A11" s="83" t="str">
        <x:v>CHK-FP-01</x:v>
      </x:c>
      <x:c r="B11" s="83" t="str">
        <x:v>STOP</x:v>
      </x:c>
      <x:c r="C11" s="83" t="str">
        <x:v>Complete and sign FP-05 using up to two clear 16-1/4-inch STOCK-M tail billets after D-101H passes, plus D/H tails, eligible C/J/L longitudinal offcuts, and the required remaining clear mother billets from knot-mapped E/F. Keep STOCK-A intact unless a signed substitution is required.</x:v>
      </x:c>
      <x:c r="D11" s="83" t="str">
        <x:v>The map assigns both 5/16-inch faces for C/M/D/E/F/G at full rough width and length, keeps C/M/E/G one piece across width, places D seams at 4-3/8 show and 4-7/8 back, places F show seams at 3, 6-1/2, and 9-1/2 and back seams at 2-1/2, 5, and 9, contains no end joints, and identifies coupons and repair reserve.</x:v>
      </x:c>
      <x:c r="E11" s="83" t="str">
        <x:v>Reassign clear pool strips without moving a released seam. Keep N/O out of the face pool unless a signed remap accepts the excessive thickness-planing loss. If the complete A-O pool still fails, purchase only the missing face billet; do not alter a stile layer or core allocation.</x:v>
      </x:c>
      <x:c r="F11" s="190" t="str">
        <x:v>HOLD - SHOP APPROVAL REQUIRED</x:v>
      </x:c>
      <x:c r="G11" s="154" t="str"/>
      <x:c r="H11" s="83" t="str"/>
    </x:row>
    <x:row r="12" ht="82" customHeight="1">
      <x:c r="A12" s="83" t="str">
        <x:v>CHK-P-01</x:v>
      </x:c>
      <x:c r="B12" s="83" t="str">
        <x:v>STOP</x:v>
      </x:c>
      <x:c r="C12" s="83" t="str">
        <x:v>Only after CHK-RS-01, CHK-ST-01, and CHK-ST-02 pass, verify thickness and warp throughout every mapped M/G/H/D clear envelope. M must show three clear 16-1/16-inch shop billets within its reported finished 99-inch length and at least 5/8-inch recoverable thickness throughout. Then rough-crosscut only the RL-02 finished-length-plus-1-inch panel billets and mill-test each shorter billet.</x:v>
      </x:c>
      <x:c r="D12" s="83" t="str">
        <x:v>Each RL-02 billet yields its LS-05 controlled rough length after flattening and squaring; every stave remains at least 5/8 thick; M/H three-stave glue-ups and G's four-stave glue-up retain at least 16-3/8 aggregate jointed width, and both D pairs retain 7-3/8; all visible, tongue, and glue zones are clear.</x:v>
      </x:c>
      <x:c r="E12" s="83" t="str">
        <x:v>If M fails, remap D-101H to clear STOCK-A. Use clear E/F or uncommitted J/L only after the structural short-member map passes; otherwise purchase replacement panel stock.</x:v>
      </x:c>
      <x:c r="F12" s="190" t="str">
        <x:v>HOLD - SHOP APPROVAL REQUIRED</x:v>
      </x:c>
      <x:c r="G12" s="154" t="str"/>
      <x:c r="H12" s="83" t="str"/>
    </x:row>
    <x:row r="13" ht="82" customHeight="1">
      <x:c r="A13" s="83" t="str">
        <x:v>CHK-LAM-01</x:v>
      </x:c>
      <x:c r="B13" s="83" t="str">
        <x:v>STOP</x:v>
      </x:c>
      <x:c r="C13" s="83" t="str">
        <x:v>Press and destructively inspect same-layup coupons before every structural member family; coupon face stock must use the same whole-thickness staged plane/rest/carrier preparation as its production family.</x:v>
      </x:c>
      <x:c r="D13" s="83" t="str">
        <x:v>The 5/16 + 7/8 + 5/16 layup measures 1-1/2 before surfacing, cures without voids or slip, then finishes 1/4 + 7/8 + 1/4 at 1-3/8. Sectioned groove and DF samples retain at least 0.200 actual core wood to each face glue line and fail in wood rather than at the adhesive line.</x:v>
      </x:c>
      <x:c r="E13" s="83" t="str">
        <x:v>Correct moisture, surface preparation, adhesive spread, pressure, platen, or cauls and remake the coupon. Production members remain on hold.</x:v>
      </x:c>
      <x:c r="F13" s="190" t="str">
        <x:v>HOLD - SHOP APPROVAL REQUIRED</x:v>
      </x:c>
      <x:c r="G13" s="154" t="str"/>
      <x:c r="H13" s="83" t="str"/>
    </x:row>
    <x:row r="14" ht="82" customHeight="1">
      <x:c r="A14" s="83" t="str">
        <x:v>CHK-SEAM-01</x:v>
      </x:c>
      <x:c r="B14" s="83" t="str">
        <x:v>STOP</x:v>
      </x:c>
      <x:c r="C14" s="83" t="str">
        <x:v>Transfer and verify the D-101D and D-101F three-plane seam maps after final width but before Domino machining.</x:v>
      </x:c>
      <x:c r="D14" s="83" t="str">
        <x:v>D core/show/back seams are 2-1/4, 4-3/8, and 4-7/8 from top. F core seam is 5-3/4; show seams are 3, 6-1/2, and 9-1/2; back seams are 2-1/2, 5, and 9. Each is within +/-1/32, every face seam is offset at least 1/2 from the nearest core seam, and calculated clearance to the retained medium-width mortise planforms is at least 0.3041 inch for D and 0.4291 inch for F, exceeding the 1/4-inch requirement.</x:v>
      </x:c>
      <x:c r="E14" s="83" t="str">
        <x:v>Rebuild the affected sheet or core. Do not move a Domino center without revising the specification, register, story stick, templates, drawings, and lock gate.</x:v>
      </x:c>
      <x:c r="F14" s="190" t="str">
        <x:v>HOLD - SHOP APPROVAL REQUIRED</x:v>
      </x:c>
      <x:c r="G14" s="154" t="str"/>
      <x:c r="H14" s="83" t="str"/>
    </x:row>
    <x:row r="17" ht="20" customHeight="1">
      <x:c r="A17" s="71" t="str">
        <x:v>Measurement and notation review</x:v>
      </x:c>
      <x:c r="B17" s="72" t="str">
        <x:v>Measurement and notation review</x:v>
      </x:c>
      <x:c r="C17" s="72" t="str">
        <x:v>Measurement and notation review</x:v>
      </x:c>
      <x:c r="D17" s="72" t="str">
        <x:v>Measurement and notation review</x:v>
      </x:c>
      <x:c r="E17" s="72" t="str">
        <x:v>Measurement and notation review</x:v>
      </x:c>
      <x:c r="F17" s="72" t="str">
        <x:v>Measurement and notation review</x:v>
      </x:c>
      <x:c r="G17" s="72" t="str">
        <x:v>Measurement and notation review</x:v>
      </x:c>
      <x:c r="H17" s="73" t="str">
        <x:v>Measurement and notation review</x:v>
      </x:c>
    </x:row>
    <x:row r="18">
      <x:c r="A18" s="188" t="str">
        <x:v>Entry</x:v>
      </x:c>
      <x:c r="B18" s="188" t="str">
        <x:v>Assessment</x:v>
      </x:c>
      <x:c r="C18" s="188" t="str">
        <x:v>Required action before cutting</x:v>
      </x:c>
    </x:row>
    <x:row r="19" ht="142" customHeight="1">
      <x:c r="A19" s="83" t="str">
        <x:v>N = 1-3/4 x 11 x 74; O = 1-3/4 x 11 x 74</x:v>
      </x:c>
      <x:c r="B19" s="83" t="str">
        <x:v>Each board is confirmed finished white oak at 1-3/4 x 11 x 74 inches and equals 9.90 board feet. At 74 inches neither board can replace an 81-inch continuous stile layer.</x:v>
      </x:c>
      <x:c r="C19" s="83" t="str">
        <x:v>Keep both boards full. Under CHK-RS-01 record moisture, grain, flatness, defects, and clear yield. Prefer them only as signed short-member core reserve.</x:v>
      </x:c>
    </x:row>
    <x:row r="20" ht="142" customHeight="1">
      <x:c r="A20" s="83" t="str">
        <x:v>A = 1 x 5-11/16 x 72-3/4; M = 3/4 x 8-1/4 x 99</x:v>
      </x:c>
      <x:c r="B20" s="83" t="str">
        <x:v>A's original 78-3/4-inch length is obsolete; six inches are charged to damage removal. M is newly reported as finished white oak and now carries D-101H plus up to two conditional face-pool billets.</x:v>
      </x:c>
      <x:c r="C20" s="83" t="str">
        <x:v>Keep A intact as reserve. Verify M's actual finished dimensions, straightness, moisture, grain, and clear envelope; cut three 16-1/16-inch M panel billets only after CHK-RS-01/CHK-ST-01/CHK-ST-02 pass.</x:v>
      </x:c>
    </x:row>
    <x:row r="21" ht="142" customHeight="1">
      <x:c r="A21" s="83" t="str">
        <x:v>L = 1-5/16 x 6 x 80 current</x:v>
      </x:c>
      <x:c r="B21" s="83" t="str">
        <x:v>The original 7-inch width is obsolete. The current 6-inch edge-cleaned width cannot yield the planned 6-1/2-inch F core stave.</x:v>
      </x:c>
      <x:c r="C21" s="83" t="str">
        <x:v>Keep L full length. Under revised CM-05, move the 6-1/2-inch F stave to J and move J's 5-inch D stave to L. J must prove one clear 6-1/2-inch width envelope before either board is cut.</x:v>
      </x:c>
    </x:row>
    <x:row r="22" ht="142" customHeight="1">
      <x:c r="A22" s="83" t="str">
        <x:v>I = 1-1/2 x 9-1/4 x 84-3/4</x:v>
      </x:c>
      <x:c r="B22" s="83" t="str">
        <x:v>Not a typo. It conditionally yields two continuous 4-3/8-inch lanes plus one 1/8-inch kerf only if the clear jointed width is at least 8-7/8 inches.</x:v>
      </x:c>
      <x:c r="C22" s="83" t="str">
        <x:v>Preserve full length and release I-01 only after CHK-ST-02.</x:v>
      </x:c>
    </x:row>
    <x:row r="23" ht="142" customHeight="1">
      <x:c r="A23" s="83" t="str">
        <x:v>K = 1-6/16; J/L = 1-5/16</x:v>
      </x:c>
      <x:c r="B23" s="83" t="str">
        <x:v>K simplifies to 1-3/8 and J/L equal 1-5/16. K conditionally supplies one stile core and one parallel stile back face; J/L supply the signed short-core map. Raw thickness does not prove flat dressed yield.</x:v>
      </x:c>
      <x:c r="C23" s="83" t="str">
        <x:v>Use only under the balanced LS-05 layer schedule and its staged whole-thickness planing controls.</x:v>
      </x:c>
    </x:row>
    <x:row r="26" ht="20" customHeight="1">
      <x:c r="A26" s="71" t="str">
        <x:v>Separate moulding purchase verification</x:v>
      </x:c>
      <x:c r="B26" s="72" t="str">
        <x:v>Separate moulding purchase verification</x:v>
      </x:c>
      <x:c r="C26" s="72" t="str">
        <x:v>Separate moulding purchase verification</x:v>
      </x:c>
      <x:c r="D26" s="72" t="str">
        <x:v>Separate moulding purchase verification</x:v>
      </x:c>
      <x:c r="E26" s="72" t="str">
        <x:v>Separate moulding purchase verification</x:v>
      </x:c>
      <x:c r="F26" s="72" t="str">
        <x:v>Separate moulding purchase verification</x:v>
      </x:c>
      <x:c r="G26" s="72" t="str">
        <x:v>Separate moulding purchase verification</x:v>
      </x:c>
      <x:c r="H26" s="73" t="str">
        <x:v>Separate moulding purchase verification</x:v>
      </x:c>
    </x:row>
    <x:row r="27">
      <x:c r="A27" s="79" t="str">
        <x:v>ID</x:v>
      </x:c>
      <x:c r="B27" s="79" t="str">
        <x:v>Quantity</x:v>
      </x:c>
      <x:c r="C27" s="79" t="str">
        <x:v>Material</x:v>
      </x:c>
      <x:c r="D27" s="79" t="str">
        <x:v>Actual minimum</x:v>
      </x:c>
      <x:c r="E27" s="79" t="str">
        <x:v>Allocation</x:v>
      </x:c>
      <x:c r="F27" s="79" t="str">
        <x:v>Shop check</x:v>
      </x:c>
    </x:row>
    <x:row r="28" ht="64" customHeight="1">
      <x:c r="A28" s="83" t="str">
        <x:v>BUY-MOULD-4Q</x:v>
      </x:c>
      <x:c r="B28" s="83" t="str">
        <x:v>7 boards</x:v>
      </x:c>
      <x:c r="C28" s="83" t="str">
        <x:v>S4S quarter-sawn white oak, 4/4 x nominal 6 inches x 8 feet</x:v>
      </x:c>
      <x:c r="D28" s="83" t="str">
        <x:v>3/4 inch thick at thinnest point after final preparation, 5-1/2 inches wide, 96 inches long; 13/16-inch thickness preferred</x:v>
      </x:c>
      <x:c r="E28" s="83" t="str">
        <x:v>four side casings, both head casings, one full-length casing spare/match board, and one three-piece stop mother blank</x:v>
      </x:c>
      <x:c r="F28" s="154" t="str"/>
    </x:row>
    <x:row r="29" ht="64" customHeight="1">
      <x:c r="A29" s="83" t="str">
        <x:v>BUY-MOULD-6Q</x:v>
      </x:c>
      <x:c r="B29" s="83" t="str">
        <x:v>2 boards</x:v>
      </x:c>
      <x:c r="C29" s="83" t="str">
        <x:v>S4S quarter-sawn white oak, 6/4 x nominal 6 inches x 8 feet</x:v>
      </x:c>
      <x:c r="D29" s="83" t="str">
        <x:v>1-1/4 inches thick, 5-1/2 inches wide, 96 inches long</x:v>
      </x:c>
      <x:c r="E29" s="83" t="str">
        <x:v>all side/head backband for two faces; also yields two optional caps only when square-head field evidence supports them</x:v>
      </x:c>
      <x:c r="F29" s="154" t="str"/>
    </x:row>
    <x:row r="31">
      <x:c r="A31" s="177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B31" s="178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C31" s="178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D31" s="178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E31" s="178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F31" s="178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G31" s="178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H31" s="179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</x:row>
    <x:row r="32">
      <x:c r="A32" s="199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B32" s="20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C32" s="20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D32" s="20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E32" s="20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F32" s="20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G32" s="20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H32" s="20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</x:row>
    <x:row r="33">
      <x:c r="A33" s="180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B33" s="18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C33" s="18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D33" s="18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E33" s="18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F33" s="18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G33" s="181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  <x:c r="H33" s="182" t="str">
        <x:v>CONTROLLED-RESERVE STOP. Measure yield after each board and before processing the next. If B/C/I/K, M, or H fails, stop and remap; never shorten or splice a stile. Keep A intact unless M fails; keep N/O full unless a signed short-core fallback is released. Do not transfer A-O remnants to moulding.</x:v>
      </x:c>
    </x:row>
  </x:sheetData>
  <x:mergeCells>
    <x:mergeCell ref="A1:H2"/>
    <x:mergeCell ref="A3:H4"/>
    <x:mergeCell ref="A17:H17"/>
    <x:mergeCell ref="A26:H26"/>
    <x:mergeCell ref="A31:H33"/>
  </x:mergeCells>
  <x:dataValidations count="2">
    <x:dataValidation type="list" sqref="G7:G14">
      <x:formula1>"HOLD,APPROVED,REJECTED"</x:formula1>
    </x:dataValidation>
    <x:dataValidation type="list" sqref="F28:F29">
      <x:formula1>"NOT BOUGHT,IN HAND - VERIFIED,REJECTED"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e15728e0fdf849a3"/>
    <x:tablePart xmlns:r="http://schemas.openxmlformats.org/officeDocument/2006/relationships" r:id="R523d4ed082e54ce1"/>
    <x:tablePart xmlns:r="http://schemas.openxmlformats.org/officeDocument/2006/relationships" r:id="Rf0d318cfad4c4288"/>
  </x:tableParts>
</x:worksheet>
</file>